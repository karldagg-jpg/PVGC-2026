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20" documentId="8_{EFCC5A15-4CCE-48CB-8249-870807231D9D}" xr6:coauthVersionLast="47" xr6:coauthVersionMax="47" xr10:uidLastSave="{031EB68C-29DD-4AC7-A1C1-8CD24CB84B26}"/>
  <bookViews>
    <workbookView xWindow="-103" yWindow="-103" windowWidth="33120" windowHeight="18000" activeTab="1" xr2:uid="{406705CD-87D7-4CEE-B814-685B9E8E51E9}"/>
  </bookViews>
  <sheets>
    <sheet name="Week5" sheetId="5" r:id="rId1"/>
    <sheet name="Week6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4" l="1"/>
  <c r="AB132" i="4"/>
  <c r="AA132" i="4"/>
  <c r="Z132" i="4"/>
  <c r="Y132" i="4"/>
  <c r="X132" i="4"/>
  <c r="W132" i="4"/>
  <c r="V132" i="4"/>
  <c r="U132" i="4"/>
  <c r="T132" i="4"/>
  <c r="AC132" i="4" s="1"/>
  <c r="S132" i="4"/>
  <c r="Q131" i="4"/>
  <c r="P131" i="4" s="1"/>
  <c r="H131" i="4"/>
  <c r="Q130" i="4"/>
  <c r="D130" i="4"/>
  <c r="AC129" i="4"/>
  <c r="AB129" i="4"/>
  <c r="AA129" i="4"/>
  <c r="Z129" i="4"/>
  <c r="Y129" i="4"/>
  <c r="X129" i="4"/>
  <c r="W129" i="4"/>
  <c r="V129" i="4"/>
  <c r="U129" i="4"/>
  <c r="T129" i="4"/>
  <c r="S129" i="4"/>
  <c r="Q128" i="4"/>
  <c r="H128" i="4" s="1"/>
  <c r="M128" i="4"/>
  <c r="L128" i="4"/>
  <c r="L129" i="4" s="1"/>
  <c r="X128" i="4" s="1"/>
  <c r="J128" i="4"/>
  <c r="J129" i="4" s="1"/>
  <c r="V128" i="4" s="1"/>
  <c r="I128" i="4"/>
  <c r="I129" i="4" s="1"/>
  <c r="U128" i="4" s="1"/>
  <c r="V127" i="4"/>
  <c r="Q127" i="4"/>
  <c r="D127" i="4"/>
  <c r="AD126" i="4"/>
  <c r="AB126" i="4"/>
  <c r="AB124" i="4" s="1"/>
  <c r="AA126" i="4"/>
  <c r="Z126" i="4"/>
  <c r="Y126" i="4"/>
  <c r="X126" i="4"/>
  <c r="W126" i="4"/>
  <c r="W124" i="4" s="1"/>
  <c r="V126" i="4"/>
  <c r="U126" i="4"/>
  <c r="T126" i="4"/>
  <c r="S126" i="4"/>
  <c r="Q125" i="4"/>
  <c r="P125" i="4" s="1"/>
  <c r="P126" i="4" s="1"/>
  <c r="K125" i="4"/>
  <c r="K126" i="4" s="1"/>
  <c r="W125" i="4" s="1"/>
  <c r="J125" i="4"/>
  <c r="J126" i="4" s="1"/>
  <c r="V125" i="4" s="1"/>
  <c r="H125" i="4"/>
  <c r="H126" i="4" s="1"/>
  <c r="T124" i="4"/>
  <c r="Q124" i="4"/>
  <c r="D124" i="4"/>
  <c r="AB123" i="4"/>
  <c r="AB121" i="4" s="1"/>
  <c r="AA123" i="4"/>
  <c r="Z123" i="4"/>
  <c r="Y123" i="4"/>
  <c r="X123" i="4"/>
  <c r="W123" i="4"/>
  <c r="V123" i="4"/>
  <c r="U123" i="4"/>
  <c r="U121" i="4" s="1"/>
  <c r="T123" i="4"/>
  <c r="S123" i="4"/>
  <c r="H123" i="4"/>
  <c r="Q122" i="4"/>
  <c r="N122" i="4" s="1"/>
  <c r="N123" i="4" s="1"/>
  <c r="Z122" i="4" s="1"/>
  <c r="P122" i="4"/>
  <c r="P123" i="4" s="1"/>
  <c r="AB122" i="4" s="1"/>
  <c r="O122" i="4"/>
  <c r="O123" i="4" s="1"/>
  <c r="AA122" i="4" s="1"/>
  <c r="M122" i="4"/>
  <c r="M123" i="4" s="1"/>
  <c r="Y122" i="4" s="1"/>
  <c r="L122" i="4"/>
  <c r="L123" i="4" s="1"/>
  <c r="X122" i="4" s="1"/>
  <c r="K122" i="4"/>
  <c r="K123" i="4" s="1"/>
  <c r="W122" i="4" s="1"/>
  <c r="J122" i="4"/>
  <c r="V121" i="4" s="1"/>
  <c r="I122" i="4"/>
  <c r="I123" i="4" s="1"/>
  <c r="U122" i="4" s="1"/>
  <c r="H122" i="4"/>
  <c r="Z121" i="4"/>
  <c r="Y121" i="4"/>
  <c r="W121" i="4"/>
  <c r="Q121" i="4"/>
  <c r="D121" i="4"/>
  <c r="AD118" i="4"/>
  <c r="AB118" i="4"/>
  <c r="AA118" i="4"/>
  <c r="AA116" i="4" s="1"/>
  <c r="Z118" i="4"/>
  <c r="Z116" i="4" s="1"/>
  <c r="Y118" i="4"/>
  <c r="X118" i="4"/>
  <c r="W118" i="4"/>
  <c r="V118" i="4"/>
  <c r="U118" i="4"/>
  <c r="T118" i="4"/>
  <c r="AC118" i="4" s="1"/>
  <c r="S118" i="4"/>
  <c r="O118" i="4"/>
  <c r="AA117" i="4"/>
  <c r="Q117" i="4"/>
  <c r="P117" i="4" s="1"/>
  <c r="P118" i="4" s="1"/>
  <c r="AB117" i="4" s="1"/>
  <c r="O117" i="4"/>
  <c r="N117" i="4"/>
  <c r="N118" i="4" s="1"/>
  <c r="Z117" i="4" s="1"/>
  <c r="M117" i="4"/>
  <c r="M118" i="4" s="1"/>
  <c r="Y117" i="4" s="1"/>
  <c r="K117" i="4"/>
  <c r="K118" i="4" s="1"/>
  <c r="W117" i="4" s="1"/>
  <c r="J117" i="4"/>
  <c r="J118" i="4" s="1"/>
  <c r="V117" i="4" s="1"/>
  <c r="I117" i="4"/>
  <c r="I118" i="4" s="1"/>
  <c r="U117" i="4" s="1"/>
  <c r="H117" i="4"/>
  <c r="T116" i="4" s="1"/>
  <c r="W116" i="4"/>
  <c r="U116" i="4"/>
  <c r="Q116" i="4"/>
  <c r="D116" i="4"/>
  <c r="AB115" i="4"/>
  <c r="AA115" i="4"/>
  <c r="Z115" i="4"/>
  <c r="Y115" i="4"/>
  <c r="X115" i="4"/>
  <c r="X113" i="4" s="1"/>
  <c r="W115" i="4"/>
  <c r="W113" i="4" s="1"/>
  <c r="V115" i="4"/>
  <c r="U115" i="4"/>
  <c r="T115" i="4"/>
  <c r="AC115" i="4" s="1"/>
  <c r="S115" i="4"/>
  <c r="K115" i="4"/>
  <c r="W114" i="4" s="1"/>
  <c r="J115" i="4"/>
  <c r="V114" i="4" s="1"/>
  <c r="H115" i="4"/>
  <c r="T114" i="4"/>
  <c r="Q114" i="4"/>
  <c r="J114" i="4" s="1"/>
  <c r="V113" i="4" s="1"/>
  <c r="P114" i="4"/>
  <c r="P115" i="4" s="1"/>
  <c r="AB114" i="4" s="1"/>
  <c r="O114" i="4"/>
  <c r="O115" i="4" s="1"/>
  <c r="AA114" i="4" s="1"/>
  <c r="N114" i="4"/>
  <c r="N115" i="4" s="1"/>
  <c r="Z114" i="4" s="1"/>
  <c r="M114" i="4"/>
  <c r="Y113" i="4" s="1"/>
  <c r="L114" i="4"/>
  <c r="L115" i="4" s="1"/>
  <c r="X114" i="4" s="1"/>
  <c r="K114" i="4"/>
  <c r="H114" i="4"/>
  <c r="AB113" i="4"/>
  <c r="Z113" i="4"/>
  <c r="Q113" i="4"/>
  <c r="D113" i="4"/>
  <c r="AD112" i="4"/>
  <c r="AB112" i="4"/>
  <c r="AA112" i="4"/>
  <c r="Z112" i="4"/>
  <c r="Y112" i="4"/>
  <c r="X112" i="4"/>
  <c r="W112" i="4"/>
  <c r="V112" i="4"/>
  <c r="U112" i="4"/>
  <c r="T112" i="4"/>
  <c r="S112" i="4"/>
  <c r="Q111" i="4"/>
  <c r="P111" i="4" s="1"/>
  <c r="P112" i="4" s="1"/>
  <c r="AB111" i="4" s="1"/>
  <c r="Q110" i="4"/>
  <c r="D110" i="4"/>
  <c r="AB109" i="4"/>
  <c r="AA109" i="4"/>
  <c r="AA107" i="4" s="1"/>
  <c r="Z109" i="4"/>
  <c r="Z107" i="4" s="1"/>
  <c r="Y109" i="4"/>
  <c r="X109" i="4"/>
  <c r="W109" i="4"/>
  <c r="V109" i="4"/>
  <c r="U109" i="4"/>
  <c r="T109" i="4"/>
  <c r="S109" i="4"/>
  <c r="N109" i="4"/>
  <c r="Z108" i="4" s="1"/>
  <c r="M109" i="4"/>
  <c r="Y108" i="4" s="1"/>
  <c r="Q108" i="4"/>
  <c r="M108" i="4" s="1"/>
  <c r="Y107" i="4" s="1"/>
  <c r="P108" i="4"/>
  <c r="AB107" i="4" s="1"/>
  <c r="O108" i="4"/>
  <c r="O109" i="4" s="1"/>
  <c r="N108" i="4"/>
  <c r="J108" i="4"/>
  <c r="J109" i="4" s="1"/>
  <c r="V108" i="4" s="1"/>
  <c r="I108" i="4"/>
  <c r="I109" i="4" s="1"/>
  <c r="U108" i="4" s="1"/>
  <c r="Q107" i="4"/>
  <c r="D107" i="4"/>
  <c r="AD104" i="4"/>
  <c r="AB104" i="4"/>
  <c r="AA104" i="4"/>
  <c r="Z104" i="4"/>
  <c r="Y104" i="4"/>
  <c r="X104" i="4"/>
  <c r="W104" i="4"/>
  <c r="V104" i="4"/>
  <c r="U104" i="4"/>
  <c r="AC104" i="4" s="1"/>
  <c r="T104" i="4"/>
  <c r="S104" i="4"/>
  <c r="Q103" i="4"/>
  <c r="P103" i="4" s="1"/>
  <c r="H103" i="4"/>
  <c r="H104" i="4" s="1"/>
  <c r="Q102" i="4"/>
  <c r="D102" i="4"/>
  <c r="AC101" i="4"/>
  <c r="AB101" i="4"/>
  <c r="AA101" i="4"/>
  <c r="Z101" i="4"/>
  <c r="Y101" i="4"/>
  <c r="X101" i="4"/>
  <c r="W101" i="4"/>
  <c r="V101" i="4"/>
  <c r="U101" i="4"/>
  <c r="T101" i="4"/>
  <c r="S101" i="4"/>
  <c r="Q100" i="4"/>
  <c r="I100" i="4" s="1"/>
  <c r="M100" i="4"/>
  <c r="M101" i="4" s="1"/>
  <c r="Y100" i="4" s="1"/>
  <c r="L100" i="4"/>
  <c r="L101" i="4" s="1"/>
  <c r="X100" i="4" s="1"/>
  <c r="J100" i="4"/>
  <c r="J101" i="4" s="1"/>
  <c r="V100" i="4" s="1"/>
  <c r="V99" i="4"/>
  <c r="Q99" i="4"/>
  <c r="D99" i="4"/>
  <c r="AD98" i="4"/>
  <c r="AB98" i="4"/>
  <c r="AB96" i="4" s="1"/>
  <c r="AA98" i="4"/>
  <c r="Z98" i="4"/>
  <c r="Y98" i="4"/>
  <c r="X98" i="4"/>
  <c r="W98" i="4"/>
  <c r="V98" i="4"/>
  <c r="V96" i="4" s="1"/>
  <c r="U98" i="4"/>
  <c r="T98" i="4"/>
  <c r="S98" i="4"/>
  <c r="Q97" i="4"/>
  <c r="P97" i="4" s="1"/>
  <c r="P98" i="4" s="1"/>
  <c r="K97" i="4"/>
  <c r="K98" i="4" s="1"/>
  <c r="W97" i="4" s="1"/>
  <c r="J97" i="4"/>
  <c r="J98" i="4" s="1"/>
  <c r="V97" i="4" s="1"/>
  <c r="H97" i="4"/>
  <c r="H98" i="4" s="1"/>
  <c r="T96" i="4"/>
  <c r="Q96" i="4"/>
  <c r="D96" i="4"/>
  <c r="AB95" i="4"/>
  <c r="AB93" i="4" s="1"/>
  <c r="AA95" i="4"/>
  <c r="AA93" i="4" s="1"/>
  <c r="Z95" i="4"/>
  <c r="Y95" i="4"/>
  <c r="X95" i="4"/>
  <c r="W95" i="4"/>
  <c r="V95" i="4"/>
  <c r="U95" i="4"/>
  <c r="U93" i="4" s="1"/>
  <c r="T95" i="4"/>
  <c r="S95" i="4"/>
  <c r="L95" i="4"/>
  <c r="H95" i="4"/>
  <c r="X94" i="4"/>
  <c r="Q94" i="4"/>
  <c r="N94" i="4" s="1"/>
  <c r="P94" i="4"/>
  <c r="P95" i="4" s="1"/>
  <c r="AB94" i="4" s="1"/>
  <c r="O94" i="4"/>
  <c r="O95" i="4" s="1"/>
  <c r="AA94" i="4" s="1"/>
  <c r="M94" i="4"/>
  <c r="M95" i="4" s="1"/>
  <c r="Y94" i="4" s="1"/>
  <c r="L94" i="4"/>
  <c r="X93" i="4" s="1"/>
  <c r="K94" i="4"/>
  <c r="K95" i="4" s="1"/>
  <c r="W94" i="4" s="1"/>
  <c r="J94" i="4"/>
  <c r="V93" i="4" s="1"/>
  <c r="I94" i="4"/>
  <c r="I95" i="4" s="1"/>
  <c r="H94" i="4"/>
  <c r="Y93" i="4"/>
  <c r="W93" i="4"/>
  <c r="Q93" i="4"/>
  <c r="D93" i="4"/>
  <c r="AD90" i="4"/>
  <c r="AB90" i="4"/>
  <c r="AA90" i="4"/>
  <c r="AA88" i="4" s="1"/>
  <c r="Z90" i="4"/>
  <c r="Y90" i="4"/>
  <c r="X90" i="4"/>
  <c r="W90" i="4"/>
  <c r="V90" i="4"/>
  <c r="U90" i="4"/>
  <c r="T90" i="4"/>
  <c r="AC90" i="4" s="1"/>
  <c r="S90" i="4"/>
  <c r="O90" i="4"/>
  <c r="L90" i="4"/>
  <c r="X89" i="4" s="1"/>
  <c r="J90" i="4"/>
  <c r="V89" i="4" s="1"/>
  <c r="AB89" i="4"/>
  <c r="AA89" i="4"/>
  <c r="Q89" i="4"/>
  <c r="P89" i="4"/>
  <c r="P90" i="4" s="1"/>
  <c r="O89" i="4"/>
  <c r="N89" i="4"/>
  <c r="N90" i="4" s="1"/>
  <c r="Z89" i="4" s="1"/>
  <c r="M89" i="4"/>
  <c r="M90" i="4" s="1"/>
  <c r="Y89" i="4" s="1"/>
  <c r="L89" i="4"/>
  <c r="K89" i="4"/>
  <c r="K90" i="4" s="1"/>
  <c r="W89" i="4" s="1"/>
  <c r="J89" i="4"/>
  <c r="V88" i="4" s="1"/>
  <c r="I89" i="4"/>
  <c r="I90" i="4" s="1"/>
  <c r="U89" i="4" s="1"/>
  <c r="H89" i="4"/>
  <c r="T88" i="4" s="1"/>
  <c r="AB88" i="4"/>
  <c r="X88" i="4"/>
  <c r="W88" i="4"/>
  <c r="U88" i="4"/>
  <c r="Q88" i="4"/>
  <c r="D88" i="4"/>
  <c r="AB87" i="4"/>
  <c r="AA87" i="4"/>
  <c r="Z87" i="4"/>
  <c r="Y87" i="4"/>
  <c r="X87" i="4"/>
  <c r="X85" i="4" s="1"/>
  <c r="W87" i="4"/>
  <c r="W85" i="4" s="1"/>
  <c r="V87" i="4"/>
  <c r="U87" i="4"/>
  <c r="T87" i="4"/>
  <c r="S87" i="4"/>
  <c r="O87" i="4"/>
  <c r="AA86" i="4" s="1"/>
  <c r="K87" i="4"/>
  <c r="W86" i="4" s="1"/>
  <c r="J87" i="4"/>
  <c r="V86" i="4" s="1"/>
  <c r="H87" i="4"/>
  <c r="T86" i="4"/>
  <c r="Q86" i="4"/>
  <c r="J86" i="4" s="1"/>
  <c r="V85" i="4" s="1"/>
  <c r="P86" i="4"/>
  <c r="P87" i="4" s="1"/>
  <c r="AB86" i="4" s="1"/>
  <c r="O86" i="4"/>
  <c r="AA85" i="4" s="1"/>
  <c r="N86" i="4"/>
  <c r="N87" i="4" s="1"/>
  <c r="Z86" i="4" s="1"/>
  <c r="M86" i="4"/>
  <c r="Y85" i="4" s="1"/>
  <c r="L86" i="4"/>
  <c r="L87" i="4" s="1"/>
  <c r="K86" i="4"/>
  <c r="I86" i="4"/>
  <c r="I87" i="4" s="1"/>
  <c r="U86" i="4" s="1"/>
  <c r="H86" i="4"/>
  <c r="AB85" i="4"/>
  <c r="Z85" i="4"/>
  <c r="U85" i="4"/>
  <c r="Q85" i="4"/>
  <c r="D85" i="4"/>
  <c r="AD84" i="4"/>
  <c r="AB84" i="4"/>
  <c r="AA84" i="4"/>
  <c r="Z84" i="4"/>
  <c r="Y84" i="4"/>
  <c r="X84" i="4"/>
  <c r="W84" i="4"/>
  <c r="V84" i="4"/>
  <c r="U84" i="4"/>
  <c r="T84" i="4"/>
  <c r="S84" i="4"/>
  <c r="Q83" i="4"/>
  <c r="P83" i="4"/>
  <c r="P84" i="4" s="1"/>
  <c r="AB83" i="4" s="1"/>
  <c r="Q82" i="4"/>
  <c r="D82" i="4"/>
  <c r="AB81" i="4"/>
  <c r="AA81" i="4"/>
  <c r="AA79" i="4" s="1"/>
  <c r="Z81" i="4"/>
  <c r="Z79" i="4" s="1"/>
  <c r="Y81" i="4"/>
  <c r="X81" i="4"/>
  <c r="W81" i="4"/>
  <c r="V81" i="4"/>
  <c r="U81" i="4"/>
  <c r="T81" i="4"/>
  <c r="AC81" i="4" s="1"/>
  <c r="S81" i="4"/>
  <c r="N81" i="4"/>
  <c r="M81" i="4"/>
  <c r="Y80" i="4" s="1"/>
  <c r="Q80" i="4"/>
  <c r="M80" i="4" s="1"/>
  <c r="Y79" i="4" s="1"/>
  <c r="P80" i="4"/>
  <c r="AB79" i="4" s="1"/>
  <c r="O80" i="4"/>
  <c r="O81" i="4" s="1"/>
  <c r="AA80" i="4" s="1"/>
  <c r="N80" i="4"/>
  <c r="J80" i="4"/>
  <c r="J81" i="4" s="1"/>
  <c r="V80" i="4" s="1"/>
  <c r="I80" i="4"/>
  <c r="I81" i="4" s="1"/>
  <c r="U80" i="4" s="1"/>
  <c r="Q79" i="4"/>
  <c r="D79" i="4"/>
  <c r="AD76" i="4"/>
  <c r="AB76" i="4"/>
  <c r="AA76" i="4"/>
  <c r="Z76" i="4"/>
  <c r="Y76" i="4"/>
  <c r="X76" i="4"/>
  <c r="W76" i="4"/>
  <c r="V76" i="4"/>
  <c r="U76" i="4"/>
  <c r="T76" i="4"/>
  <c r="T74" i="4" s="1"/>
  <c r="S76" i="4"/>
  <c r="Q75" i="4"/>
  <c r="N75" i="4"/>
  <c r="L75" i="4"/>
  <c r="L76" i="4" s="1"/>
  <c r="H75" i="4"/>
  <c r="H76" i="4" s="1"/>
  <c r="Q74" i="4"/>
  <c r="D74" i="4"/>
  <c r="AC73" i="4"/>
  <c r="AB73" i="4"/>
  <c r="AA73" i="4"/>
  <c r="Z73" i="4"/>
  <c r="Y73" i="4"/>
  <c r="Y71" i="4" s="1"/>
  <c r="X73" i="4"/>
  <c r="X71" i="4" s="1"/>
  <c r="W73" i="4"/>
  <c r="V73" i="4"/>
  <c r="V71" i="4" s="1"/>
  <c r="U73" i="4"/>
  <c r="T73" i="4"/>
  <c r="S73" i="4"/>
  <c r="Q72" i="4"/>
  <c r="M72" i="4"/>
  <c r="M73" i="4" s="1"/>
  <c r="Y72" i="4" s="1"/>
  <c r="L72" i="4"/>
  <c r="L73" i="4" s="1"/>
  <c r="X72" i="4" s="1"/>
  <c r="J72" i="4"/>
  <c r="J73" i="4" s="1"/>
  <c r="V72" i="4" s="1"/>
  <c r="Q71" i="4"/>
  <c r="D71" i="4"/>
  <c r="AD70" i="4"/>
  <c r="AB70" i="4"/>
  <c r="AA70" i="4"/>
  <c r="AA68" i="4" s="1"/>
  <c r="Z70" i="4"/>
  <c r="Y70" i="4"/>
  <c r="X70" i="4"/>
  <c r="W70" i="4"/>
  <c r="V70" i="4"/>
  <c r="U70" i="4"/>
  <c r="T70" i="4"/>
  <c r="S70" i="4"/>
  <c r="Q69" i="4"/>
  <c r="O69" i="4" s="1"/>
  <c r="O70" i="4" s="1"/>
  <c r="AA69" i="4" s="1"/>
  <c r="Q68" i="4"/>
  <c r="D68" i="4"/>
  <c r="AB67" i="4"/>
  <c r="AA67" i="4"/>
  <c r="Z67" i="4"/>
  <c r="Y67" i="4"/>
  <c r="X67" i="4"/>
  <c r="W67" i="4"/>
  <c r="V67" i="4"/>
  <c r="U67" i="4"/>
  <c r="T67" i="4"/>
  <c r="AC67" i="4" s="1"/>
  <c r="S67" i="4"/>
  <c r="H67" i="4"/>
  <c r="Q66" i="4"/>
  <c r="N66" i="4" s="1"/>
  <c r="Z65" i="4" s="1"/>
  <c r="P66" i="4"/>
  <c r="P67" i="4" s="1"/>
  <c r="AB66" i="4" s="1"/>
  <c r="O66" i="4"/>
  <c r="O67" i="4" s="1"/>
  <c r="AA66" i="4" s="1"/>
  <c r="M66" i="4"/>
  <c r="L66" i="4"/>
  <c r="K66" i="4"/>
  <c r="K67" i="4" s="1"/>
  <c r="W66" i="4" s="1"/>
  <c r="J66" i="4"/>
  <c r="J67" i="4" s="1"/>
  <c r="V66" i="4" s="1"/>
  <c r="I66" i="4"/>
  <c r="I67" i="4" s="1"/>
  <c r="U66" i="4" s="1"/>
  <c r="H66" i="4"/>
  <c r="V65" i="4"/>
  <c r="T65" i="4"/>
  <c r="Q65" i="4"/>
  <c r="D65" i="4"/>
  <c r="AD62" i="4"/>
  <c r="AB62" i="4"/>
  <c r="AB60" i="4" s="1"/>
  <c r="AA62" i="4"/>
  <c r="AA60" i="4" s="1"/>
  <c r="Z62" i="4"/>
  <c r="Y62" i="4"/>
  <c r="Y60" i="4" s="1"/>
  <c r="X62" i="4"/>
  <c r="W62" i="4"/>
  <c r="V62" i="4"/>
  <c r="U62" i="4"/>
  <c r="T62" i="4"/>
  <c r="AC62" i="4" s="1"/>
  <c r="S62" i="4"/>
  <c r="O62" i="4"/>
  <c r="AA61" i="4" s="1"/>
  <c r="N62" i="4"/>
  <c r="Z61" i="4" s="1"/>
  <c r="M62" i="4"/>
  <c r="K62" i="4"/>
  <c r="Y61" i="4"/>
  <c r="W61" i="4"/>
  <c r="Q61" i="4"/>
  <c r="P61" i="4" s="1"/>
  <c r="P62" i="4" s="1"/>
  <c r="AB61" i="4" s="1"/>
  <c r="O61" i="4"/>
  <c r="N61" i="4"/>
  <c r="M61" i="4"/>
  <c r="K61" i="4"/>
  <c r="J61" i="4"/>
  <c r="V60" i="4" s="1"/>
  <c r="I61" i="4"/>
  <c r="H61" i="4"/>
  <c r="W60" i="4"/>
  <c r="Q60" i="4"/>
  <c r="D60" i="4"/>
  <c r="AB59" i="4"/>
  <c r="AA59" i="4"/>
  <c r="Z59" i="4"/>
  <c r="Y59" i="4"/>
  <c r="X59" i="4"/>
  <c r="W59" i="4"/>
  <c r="V59" i="4"/>
  <c r="U59" i="4"/>
  <c r="T59" i="4"/>
  <c r="S59" i="4"/>
  <c r="L59" i="4"/>
  <c r="X58" i="4" s="1"/>
  <c r="K59" i="4"/>
  <c r="W58" i="4" s="1"/>
  <c r="H59" i="4"/>
  <c r="T58" i="4"/>
  <c r="Q58" i="4"/>
  <c r="J58" i="4" s="1"/>
  <c r="V57" i="4" s="1"/>
  <c r="P58" i="4"/>
  <c r="P59" i="4" s="1"/>
  <c r="AB58" i="4" s="1"/>
  <c r="O58" i="4"/>
  <c r="N58" i="4"/>
  <c r="N59" i="4" s="1"/>
  <c r="Z58" i="4" s="1"/>
  <c r="M58" i="4"/>
  <c r="M59" i="4" s="1"/>
  <c r="L58" i="4"/>
  <c r="K58" i="4"/>
  <c r="H58" i="4"/>
  <c r="Z57" i="4"/>
  <c r="X57" i="4"/>
  <c r="W57" i="4"/>
  <c r="Q57" i="4"/>
  <c r="D57" i="4"/>
  <c r="AD56" i="4"/>
  <c r="AB56" i="4"/>
  <c r="AA56" i="4"/>
  <c r="Z56" i="4"/>
  <c r="Y56" i="4"/>
  <c r="X56" i="4"/>
  <c r="W56" i="4"/>
  <c r="V56" i="4"/>
  <c r="U56" i="4"/>
  <c r="T56" i="4"/>
  <c r="S56" i="4"/>
  <c r="Q55" i="4"/>
  <c r="P55" i="4" s="1"/>
  <c r="Q54" i="4"/>
  <c r="D54" i="4"/>
  <c r="AB53" i="4"/>
  <c r="AA53" i="4"/>
  <c r="Z53" i="4"/>
  <c r="Y53" i="4"/>
  <c r="X53" i="4"/>
  <c r="W53" i="4"/>
  <c r="V53" i="4"/>
  <c r="U53" i="4"/>
  <c r="T53" i="4"/>
  <c r="S53" i="4"/>
  <c r="Q52" i="4"/>
  <c r="P52" i="4" s="1"/>
  <c r="P53" i="4" s="1"/>
  <c r="AB52" i="4" s="1"/>
  <c r="I52" i="4"/>
  <c r="I53" i="4" s="1"/>
  <c r="U52" i="4" s="1"/>
  <c r="Q51" i="4"/>
  <c r="D51" i="4"/>
  <c r="AD48" i="4"/>
  <c r="AB48" i="4"/>
  <c r="AA48" i="4"/>
  <c r="AA46" i="4" s="1"/>
  <c r="Z48" i="4"/>
  <c r="Y48" i="4"/>
  <c r="X48" i="4"/>
  <c r="W48" i="4"/>
  <c r="W46" i="4" s="1"/>
  <c r="V48" i="4"/>
  <c r="U48" i="4"/>
  <c r="T48" i="4"/>
  <c r="S48" i="4"/>
  <c r="H48" i="4"/>
  <c r="Q47" i="4"/>
  <c r="L47" i="4" s="1"/>
  <c r="L48" i="4" s="1"/>
  <c r="X47" i="4" s="1"/>
  <c r="P47" i="4"/>
  <c r="O47" i="4"/>
  <c r="O48" i="4" s="1"/>
  <c r="AA47" i="4" s="1"/>
  <c r="N47" i="4"/>
  <c r="N48" i="4" s="1"/>
  <c r="Z47" i="4" s="1"/>
  <c r="K47" i="4"/>
  <c r="K48" i="4" s="1"/>
  <c r="W47" i="4" s="1"/>
  <c r="J47" i="4"/>
  <c r="V46" i="4" s="1"/>
  <c r="H47" i="4"/>
  <c r="Q46" i="4"/>
  <c r="D46" i="4"/>
  <c r="AB45" i="4"/>
  <c r="AB43" i="4" s="1"/>
  <c r="AA45" i="4"/>
  <c r="Z45" i="4"/>
  <c r="Z43" i="4" s="1"/>
  <c r="Y45" i="4"/>
  <c r="Y43" i="4" s="1"/>
  <c r="X45" i="4"/>
  <c r="W45" i="4"/>
  <c r="V45" i="4"/>
  <c r="U45" i="4"/>
  <c r="T45" i="4"/>
  <c r="S45" i="4"/>
  <c r="M45" i="4"/>
  <c r="Y44" i="4" s="1"/>
  <c r="K45" i="4"/>
  <c r="W44" i="4" s="1"/>
  <c r="U44" i="4"/>
  <c r="Q44" i="4"/>
  <c r="N44" i="4" s="1"/>
  <c r="N45" i="4" s="1"/>
  <c r="P44" i="4"/>
  <c r="P45" i="4" s="1"/>
  <c r="AB44" i="4" s="1"/>
  <c r="O44" i="4"/>
  <c r="AA43" i="4" s="1"/>
  <c r="M44" i="4"/>
  <c r="K44" i="4"/>
  <c r="I44" i="4"/>
  <c r="I45" i="4" s="1"/>
  <c r="H44" i="4"/>
  <c r="H45" i="4" s="1"/>
  <c r="W43" i="4"/>
  <c r="Q43" i="4"/>
  <c r="D43" i="4"/>
  <c r="AD42" i="4"/>
  <c r="AB42" i="4"/>
  <c r="AA42" i="4"/>
  <c r="Z42" i="4"/>
  <c r="Y42" i="4"/>
  <c r="X42" i="4"/>
  <c r="W42" i="4"/>
  <c r="V42" i="4"/>
  <c r="U42" i="4"/>
  <c r="T42" i="4"/>
  <c r="S42" i="4"/>
  <c r="Q41" i="4"/>
  <c r="Q40" i="4"/>
  <c r="D40" i="4"/>
  <c r="AC39" i="4"/>
  <c r="AB39" i="4"/>
  <c r="AB37" i="4" s="1"/>
  <c r="AA39" i="4"/>
  <c r="Z39" i="4"/>
  <c r="Y39" i="4"/>
  <c r="Y37" i="4" s="1"/>
  <c r="X39" i="4"/>
  <c r="W39" i="4"/>
  <c r="V39" i="4"/>
  <c r="U39" i="4"/>
  <c r="T39" i="4"/>
  <c r="S39" i="4"/>
  <c r="P39" i="4"/>
  <c r="AB38" i="4" s="1"/>
  <c r="O39" i="4"/>
  <c r="AA38" i="4" s="1"/>
  <c r="N39" i="4"/>
  <c r="Z38" i="4" s="1"/>
  <c r="H39" i="4"/>
  <c r="T38" i="4"/>
  <c r="Q38" i="4"/>
  <c r="O38" i="4" s="1"/>
  <c r="P38" i="4"/>
  <c r="N38" i="4"/>
  <c r="M38" i="4"/>
  <c r="M39" i="4" s="1"/>
  <c r="Y38" i="4" s="1"/>
  <c r="L38" i="4"/>
  <c r="L39" i="4" s="1"/>
  <c r="X38" i="4" s="1"/>
  <c r="K38" i="4"/>
  <c r="K39" i="4" s="1"/>
  <c r="W38" i="4" s="1"/>
  <c r="J38" i="4"/>
  <c r="J39" i="4" s="1"/>
  <c r="V38" i="4" s="1"/>
  <c r="H38" i="4"/>
  <c r="Z37" i="4"/>
  <c r="V37" i="4"/>
  <c r="T37" i="4"/>
  <c r="Q37" i="4"/>
  <c r="D37" i="4"/>
  <c r="AD34" i="4"/>
  <c r="AB34" i="4"/>
  <c r="AA34" i="4"/>
  <c r="Z34" i="4"/>
  <c r="Y34" i="4"/>
  <c r="X34" i="4"/>
  <c r="W34" i="4"/>
  <c r="V34" i="4"/>
  <c r="U34" i="4"/>
  <c r="AC34" i="4" s="1"/>
  <c r="T34" i="4"/>
  <c r="S34" i="4"/>
  <c r="Q33" i="4"/>
  <c r="J33" i="4"/>
  <c r="J34" i="4" s="1"/>
  <c r="V33" i="4" s="1"/>
  <c r="I33" i="4"/>
  <c r="I34" i="4" s="1"/>
  <c r="U33" i="4" s="1"/>
  <c r="H33" i="4"/>
  <c r="H34" i="4" s="1"/>
  <c r="Q32" i="4"/>
  <c r="D32" i="4"/>
  <c r="AB31" i="4"/>
  <c r="AA31" i="4"/>
  <c r="Z31" i="4"/>
  <c r="Y31" i="4"/>
  <c r="X31" i="4"/>
  <c r="W31" i="4"/>
  <c r="V31" i="4"/>
  <c r="V29" i="4" s="1"/>
  <c r="U31" i="4"/>
  <c r="T31" i="4"/>
  <c r="AC31" i="4" s="1"/>
  <c r="S31" i="4"/>
  <c r="Q30" i="4"/>
  <c r="K30" i="4" s="1"/>
  <c r="K31" i="4" s="1"/>
  <c r="W30" i="4" s="1"/>
  <c r="O30" i="4"/>
  <c r="O31" i="4" s="1"/>
  <c r="AA30" i="4" s="1"/>
  <c r="N30" i="4"/>
  <c r="N31" i="4" s="1"/>
  <c r="Z30" i="4" s="1"/>
  <c r="M30" i="4"/>
  <c r="M31" i="4" s="1"/>
  <c r="Y30" i="4" s="1"/>
  <c r="J30" i="4"/>
  <c r="J31" i="4" s="1"/>
  <c r="V30" i="4" s="1"/>
  <c r="I30" i="4"/>
  <c r="Q29" i="4"/>
  <c r="D29" i="4"/>
  <c r="AD28" i="4"/>
  <c r="AC28" i="4"/>
  <c r="AB28" i="4"/>
  <c r="AA28" i="4"/>
  <c r="Z28" i="4"/>
  <c r="Y28" i="4"/>
  <c r="Y26" i="4" s="1"/>
  <c r="X28" i="4"/>
  <c r="W28" i="4"/>
  <c r="V28" i="4"/>
  <c r="U28" i="4"/>
  <c r="T28" i="4"/>
  <c r="S28" i="4"/>
  <c r="L28" i="4"/>
  <c r="X27" i="4" s="1"/>
  <c r="Q27" i="4"/>
  <c r="I27" i="4" s="1"/>
  <c r="I28" i="4" s="1"/>
  <c r="U27" i="4" s="1"/>
  <c r="M27" i="4"/>
  <c r="M28" i="4" s="1"/>
  <c r="Y27" i="4" s="1"/>
  <c r="L27" i="4"/>
  <c r="K27" i="4"/>
  <c r="K28" i="4" s="1"/>
  <c r="W27" i="4" s="1"/>
  <c r="H27" i="4"/>
  <c r="H28" i="4" s="1"/>
  <c r="T27" i="4" s="1"/>
  <c r="Q26" i="4"/>
  <c r="D26" i="4"/>
  <c r="AB25" i="4"/>
  <c r="AA25" i="4"/>
  <c r="Z25" i="4"/>
  <c r="Y25" i="4"/>
  <c r="X25" i="4"/>
  <c r="W25" i="4"/>
  <c r="V25" i="4"/>
  <c r="U25" i="4"/>
  <c r="AC25" i="4" s="1"/>
  <c r="T25" i="4"/>
  <c r="S25" i="4"/>
  <c r="Q24" i="4"/>
  <c r="P24" i="4"/>
  <c r="AB23" i="4" s="1"/>
  <c r="Q23" i="4"/>
  <c r="D23" i="4"/>
  <c r="AD20" i="4"/>
  <c r="AB20" i="4"/>
  <c r="AA20" i="4"/>
  <c r="Z20" i="4"/>
  <c r="Y20" i="4"/>
  <c r="X20" i="4"/>
  <c r="W20" i="4"/>
  <c r="W18" i="4" s="1"/>
  <c r="V20" i="4"/>
  <c r="U20" i="4"/>
  <c r="U18" i="4" s="1"/>
  <c r="T20" i="4"/>
  <c r="AC20" i="4" s="1"/>
  <c r="S20" i="4"/>
  <c r="H20" i="4"/>
  <c r="Q19" i="4"/>
  <c r="I19" i="4" s="1"/>
  <c r="I20" i="4" s="1"/>
  <c r="P19" i="4"/>
  <c r="P20" i="4" s="1"/>
  <c r="AB19" i="4" s="1"/>
  <c r="O19" i="4"/>
  <c r="O20" i="4" s="1"/>
  <c r="AA19" i="4" s="1"/>
  <c r="N19" i="4"/>
  <c r="N20" i="4" s="1"/>
  <c r="Z19" i="4" s="1"/>
  <c r="K19" i="4"/>
  <c r="K20" i="4" s="1"/>
  <c r="W19" i="4" s="1"/>
  <c r="J19" i="4"/>
  <c r="H19" i="4"/>
  <c r="Q18" i="4"/>
  <c r="D18" i="4"/>
  <c r="AB17" i="4"/>
  <c r="AB15" i="4" s="1"/>
  <c r="AA17" i="4"/>
  <c r="AA15" i="4" s="1"/>
  <c r="Z17" i="4"/>
  <c r="Y17" i="4"/>
  <c r="Y15" i="4" s="1"/>
  <c r="X17" i="4"/>
  <c r="W17" i="4"/>
  <c r="V17" i="4"/>
  <c r="V15" i="4" s="1"/>
  <c r="U17" i="4"/>
  <c r="T17" i="4"/>
  <c r="S17" i="4"/>
  <c r="M17" i="4"/>
  <c r="K17" i="4"/>
  <c r="W16" i="4" s="1"/>
  <c r="Q16" i="4"/>
  <c r="N16" i="4" s="1"/>
  <c r="N17" i="4" s="1"/>
  <c r="P16" i="4"/>
  <c r="P17" i="4" s="1"/>
  <c r="AB16" i="4" s="1"/>
  <c r="O16" i="4"/>
  <c r="O17" i="4" s="1"/>
  <c r="AA16" i="4" s="1"/>
  <c r="M16" i="4"/>
  <c r="K16" i="4"/>
  <c r="J16" i="4"/>
  <c r="J17" i="4" s="1"/>
  <c r="V16" i="4" s="1"/>
  <c r="I16" i="4"/>
  <c r="I17" i="4" s="1"/>
  <c r="U16" i="4" s="1"/>
  <c r="H16" i="4"/>
  <c r="H17" i="4" s="1"/>
  <c r="Z15" i="4"/>
  <c r="W15" i="4"/>
  <c r="Q15" i="4"/>
  <c r="D15" i="4"/>
  <c r="AD14" i="4"/>
  <c r="AB14" i="4"/>
  <c r="AA14" i="4"/>
  <c r="Z14" i="4"/>
  <c r="Z12" i="4" s="1"/>
  <c r="Y14" i="4"/>
  <c r="Y12" i="4" s="1"/>
  <c r="X14" i="4"/>
  <c r="W14" i="4"/>
  <c r="V14" i="4"/>
  <c r="U14" i="4"/>
  <c r="T14" i="4"/>
  <c r="S14" i="4"/>
  <c r="K14" i="4"/>
  <c r="W13" i="4" s="1"/>
  <c r="I14" i="4"/>
  <c r="U13" i="4" s="1"/>
  <c r="Q13" i="4"/>
  <c r="N13" i="4"/>
  <c r="N14" i="4" s="1"/>
  <c r="Z13" i="4" s="1"/>
  <c r="M13" i="4"/>
  <c r="M14" i="4" s="1"/>
  <c r="Y13" i="4" s="1"/>
  <c r="K13" i="4"/>
  <c r="W12" i="4" s="1"/>
  <c r="I13" i="4"/>
  <c r="U12" i="4" s="1"/>
  <c r="Q12" i="4"/>
  <c r="D12" i="4"/>
  <c r="AB11" i="4"/>
  <c r="AB9" i="4" s="1"/>
  <c r="AA11" i="4"/>
  <c r="AA9" i="4" s="1"/>
  <c r="Z11" i="4"/>
  <c r="Y11" i="4"/>
  <c r="Y9" i="4" s="1"/>
  <c r="X11" i="4"/>
  <c r="X9" i="4" s="1"/>
  <c r="W11" i="4"/>
  <c r="AC11" i="4" s="1"/>
  <c r="V11" i="4"/>
  <c r="U11" i="4"/>
  <c r="T11" i="4"/>
  <c r="S11" i="4"/>
  <c r="O11" i="4"/>
  <c r="J11" i="4"/>
  <c r="V10" i="4" s="1"/>
  <c r="H11" i="4"/>
  <c r="Q10" i="4"/>
  <c r="P10" i="4"/>
  <c r="P11" i="4" s="1"/>
  <c r="AB10" i="4" s="1"/>
  <c r="O10" i="4"/>
  <c r="N10" i="4"/>
  <c r="N11" i="4" s="1"/>
  <c r="Z10" i="4" s="1"/>
  <c r="M10" i="4"/>
  <c r="M11" i="4" s="1"/>
  <c r="Y10" i="4" s="1"/>
  <c r="L10" i="4"/>
  <c r="L11" i="4" s="1"/>
  <c r="X10" i="4" s="1"/>
  <c r="K10" i="4"/>
  <c r="K11" i="4" s="1"/>
  <c r="W10" i="4" s="1"/>
  <c r="J10" i="4"/>
  <c r="I10" i="4"/>
  <c r="I11" i="4" s="1"/>
  <c r="U10" i="4" s="1"/>
  <c r="H10" i="4"/>
  <c r="V9" i="4"/>
  <c r="U9" i="4"/>
  <c r="T9" i="4"/>
  <c r="Q9" i="4"/>
  <c r="D9" i="4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54" i="4" l="1"/>
  <c r="P56" i="4"/>
  <c r="AB55" i="4" s="1"/>
  <c r="T16" i="4"/>
  <c r="N24" i="4"/>
  <c r="K24" i="4"/>
  <c r="K25" i="4" s="1"/>
  <c r="W24" i="4" s="1"/>
  <c r="J24" i="4"/>
  <c r="I24" i="4"/>
  <c r="I25" i="4" s="1"/>
  <c r="U24" i="4" s="1"/>
  <c r="H24" i="4"/>
  <c r="O24" i="4"/>
  <c r="W26" i="4"/>
  <c r="I62" i="4"/>
  <c r="U61" i="4" s="1"/>
  <c r="U60" i="4"/>
  <c r="U79" i="4"/>
  <c r="T32" i="4"/>
  <c r="AA57" i="4"/>
  <c r="O59" i="4"/>
  <c r="AA58" i="4" s="1"/>
  <c r="N95" i="4"/>
  <c r="Z94" i="4" s="1"/>
  <c r="Z93" i="4"/>
  <c r="Q11" i="4"/>
  <c r="AC42" i="4"/>
  <c r="P48" i="4"/>
  <c r="AB47" i="4" s="1"/>
  <c r="AB46" i="4"/>
  <c r="V102" i="4"/>
  <c r="Y58" i="4"/>
  <c r="Y57" i="4"/>
  <c r="T44" i="4"/>
  <c r="AC56" i="4"/>
  <c r="AC76" i="4"/>
  <c r="X74" i="4"/>
  <c r="V40" i="4"/>
  <c r="W9" i="4"/>
  <c r="AC9" i="4" s="1"/>
  <c r="V32" i="4"/>
  <c r="T26" i="4"/>
  <c r="P33" i="4"/>
  <c r="O33" i="4"/>
  <c r="N33" i="4"/>
  <c r="N34" i="4" s="1"/>
  <c r="Z33" i="4" s="1"/>
  <c r="M33" i="4"/>
  <c r="M34" i="4" s="1"/>
  <c r="Y33" i="4" s="1"/>
  <c r="L33" i="4"/>
  <c r="K33" i="4"/>
  <c r="K34" i="4" s="1"/>
  <c r="W33" i="4" s="1"/>
  <c r="X46" i="4"/>
  <c r="T47" i="4"/>
  <c r="J59" i="4"/>
  <c r="V58" i="4" s="1"/>
  <c r="AB57" i="4"/>
  <c r="T33" i="4"/>
  <c r="U19" i="4"/>
  <c r="T18" i="4"/>
  <c r="AA10" i="4"/>
  <c r="Z9" i="4"/>
  <c r="O13" i="4"/>
  <c r="L13" i="4"/>
  <c r="J13" i="4"/>
  <c r="J14" i="4" s="1"/>
  <c r="V13" i="4" s="1"/>
  <c r="H13" i="4"/>
  <c r="H14" i="4" s="1"/>
  <c r="P13" i="4"/>
  <c r="AC14" i="4"/>
  <c r="U15" i="4"/>
  <c r="P25" i="4"/>
  <c r="AB24" i="4" s="1"/>
  <c r="W37" i="4"/>
  <c r="O41" i="4"/>
  <c r="M41" i="4"/>
  <c r="L41" i="4"/>
  <c r="L42" i="4" s="1"/>
  <c r="X41" i="4" s="1"/>
  <c r="K41" i="4"/>
  <c r="K42" i="4" s="1"/>
  <c r="W41" i="4" s="1"/>
  <c r="J41" i="4"/>
  <c r="J42" i="4" s="1"/>
  <c r="V41" i="4" s="1"/>
  <c r="I41" i="4"/>
  <c r="H41" i="4"/>
  <c r="H42" i="4" s="1"/>
  <c r="P41" i="4"/>
  <c r="N41" i="4"/>
  <c r="N42" i="4" s="1"/>
  <c r="Z41" i="4" s="1"/>
  <c r="AC45" i="4"/>
  <c r="AC53" i="4"/>
  <c r="X75" i="4"/>
  <c r="AB110" i="4"/>
  <c r="AA18" i="4"/>
  <c r="W29" i="4"/>
  <c r="Z29" i="4"/>
  <c r="Y32" i="4"/>
  <c r="X37" i="4"/>
  <c r="U43" i="4"/>
  <c r="Z46" i="4"/>
  <c r="AC48" i="4"/>
  <c r="T46" i="4"/>
  <c r="U51" i="4"/>
  <c r="Y16" i="4"/>
  <c r="T10" i="4"/>
  <c r="AC10" i="4" s="1"/>
  <c r="V12" i="4"/>
  <c r="Z18" i="4"/>
  <c r="T19" i="4"/>
  <c r="AB18" i="4"/>
  <c r="L24" i="4"/>
  <c r="AA29" i="4"/>
  <c r="Z32" i="4"/>
  <c r="V51" i="4"/>
  <c r="N55" i="4"/>
  <c r="N56" i="4" s="1"/>
  <c r="Z55" i="4" s="1"/>
  <c r="X65" i="4"/>
  <c r="L67" i="4"/>
  <c r="N111" i="4"/>
  <c r="M111" i="4"/>
  <c r="L111" i="4"/>
  <c r="K111" i="4"/>
  <c r="J111" i="4"/>
  <c r="J112" i="4" s="1"/>
  <c r="V111" i="4" s="1"/>
  <c r="I111" i="4"/>
  <c r="I112" i="4" s="1"/>
  <c r="U111" i="4" s="1"/>
  <c r="H111" i="4"/>
  <c r="O111" i="4"/>
  <c r="AA124" i="4"/>
  <c r="AC17" i="4"/>
  <c r="T15" i="4"/>
  <c r="AC15" i="4" s="1"/>
  <c r="Z16" i="4"/>
  <c r="X15" i="4"/>
  <c r="M24" i="4"/>
  <c r="M25" i="4" s="1"/>
  <c r="Y24" i="4" s="1"/>
  <c r="U26" i="4"/>
  <c r="X26" i="4"/>
  <c r="Y29" i="4"/>
  <c r="AB29" i="4"/>
  <c r="M67" i="4"/>
  <c r="Y66" i="4" s="1"/>
  <c r="Y65" i="4"/>
  <c r="U107" i="4"/>
  <c r="Y23" i="4"/>
  <c r="V18" i="4"/>
  <c r="J20" i="4"/>
  <c r="V19" i="4" s="1"/>
  <c r="U29" i="4"/>
  <c r="I31" i="4"/>
  <c r="U30" i="4" s="1"/>
  <c r="AA37" i="4"/>
  <c r="Z44" i="4"/>
  <c r="AB51" i="4"/>
  <c r="H55" i="4"/>
  <c r="O55" i="4"/>
  <c r="O56" i="4" s="1"/>
  <c r="AA55" i="4" s="1"/>
  <c r="L55" i="4"/>
  <c r="K55" i="4"/>
  <c r="J55" i="4"/>
  <c r="I55" i="4"/>
  <c r="M55" i="4"/>
  <c r="AC59" i="4"/>
  <c r="H62" i="4"/>
  <c r="T60" i="4"/>
  <c r="V107" i="4"/>
  <c r="L19" i="4"/>
  <c r="M19" i="4"/>
  <c r="J27" i="4"/>
  <c r="L30" i="4"/>
  <c r="I38" i="4"/>
  <c r="M47" i="4"/>
  <c r="N67" i="4"/>
  <c r="Z66" i="4" s="1"/>
  <c r="P75" i="4"/>
  <c r="O75" i="4"/>
  <c r="M75" i="4"/>
  <c r="M76" i="4" s="1"/>
  <c r="Y75" i="4" s="1"/>
  <c r="K75" i="4"/>
  <c r="J75" i="4"/>
  <c r="I75" i="4"/>
  <c r="I76" i="4" s="1"/>
  <c r="U75" i="4" s="1"/>
  <c r="T102" i="4"/>
  <c r="AC109" i="4"/>
  <c r="AB116" i="4"/>
  <c r="AB125" i="4"/>
  <c r="T127" i="4"/>
  <c r="H129" i="4"/>
  <c r="Z127" i="4"/>
  <c r="Y74" i="4"/>
  <c r="V79" i="4"/>
  <c r="N83" i="4"/>
  <c r="M83" i="4"/>
  <c r="L83" i="4"/>
  <c r="K83" i="4"/>
  <c r="J83" i="4"/>
  <c r="J84" i="4" s="1"/>
  <c r="V83" i="4" s="1"/>
  <c r="I83" i="4"/>
  <c r="I84" i="4" s="1"/>
  <c r="U83" i="4" s="1"/>
  <c r="H83" i="4"/>
  <c r="O83" i="4"/>
  <c r="AB82" i="4"/>
  <c r="W107" i="4"/>
  <c r="AA121" i="4"/>
  <c r="U130" i="4"/>
  <c r="N27" i="4"/>
  <c r="N28" i="4" s="1"/>
  <c r="Z27" i="4" s="1"/>
  <c r="P30" i="4"/>
  <c r="P31" i="4" s="1"/>
  <c r="AB30" i="4" s="1"/>
  <c r="U32" i="4"/>
  <c r="T43" i="4"/>
  <c r="J44" i="4"/>
  <c r="J45" i="4" s="1"/>
  <c r="V44" i="4" s="1"/>
  <c r="J52" i="4"/>
  <c r="J53" i="4" s="1"/>
  <c r="V52" i="4" s="1"/>
  <c r="U65" i="4"/>
  <c r="AC65" i="4" s="1"/>
  <c r="AB68" i="4"/>
  <c r="W79" i="4"/>
  <c r="X86" i="4"/>
  <c r="AC86" i="4" s="1"/>
  <c r="T94" i="4"/>
  <c r="AA108" i="4"/>
  <c r="O27" i="4"/>
  <c r="O45" i="4"/>
  <c r="AA44" i="4" s="1"/>
  <c r="J48" i="4"/>
  <c r="V47" i="4" s="1"/>
  <c r="K52" i="4"/>
  <c r="K53" i="4" s="1"/>
  <c r="W52" i="4" s="1"/>
  <c r="AC87" i="4"/>
  <c r="AC98" i="4"/>
  <c r="T103" i="4"/>
  <c r="L16" i="4"/>
  <c r="L17" i="4" s="1"/>
  <c r="X16" i="4" s="1"/>
  <c r="P27" i="4"/>
  <c r="P28" i="4" s="1"/>
  <c r="AB27" i="4" s="1"/>
  <c r="T40" i="4"/>
  <c r="L44" i="4"/>
  <c r="L45" i="4" s="1"/>
  <c r="X44" i="4" s="1"/>
  <c r="N52" i="4"/>
  <c r="N53" i="4" s="1"/>
  <c r="Z52" i="4" s="1"/>
  <c r="J62" i="4"/>
  <c r="V61" i="4" s="1"/>
  <c r="W65" i="4"/>
  <c r="H69" i="4"/>
  <c r="I72" i="4"/>
  <c r="H72" i="4"/>
  <c r="P72" i="4"/>
  <c r="O72" i="4"/>
  <c r="N72" i="4"/>
  <c r="N73" i="4" s="1"/>
  <c r="Z72" i="4" s="1"/>
  <c r="K72" i="4"/>
  <c r="Y88" i="4"/>
  <c r="U94" i="4"/>
  <c r="P104" i="4"/>
  <c r="AB103" i="4" s="1"/>
  <c r="AB102" i="4"/>
  <c r="T122" i="4"/>
  <c r="AC126" i="4"/>
  <c r="O52" i="4"/>
  <c r="J69" i="4"/>
  <c r="J70" i="4" s="1"/>
  <c r="V69" i="4" s="1"/>
  <c r="Z88" i="4"/>
  <c r="AC95" i="4"/>
  <c r="T93" i="4"/>
  <c r="AC93" i="4" s="1"/>
  <c r="AC112" i="4"/>
  <c r="U110" i="4"/>
  <c r="AC114" i="4"/>
  <c r="H132" i="4"/>
  <c r="T130" i="4"/>
  <c r="H30" i="4"/>
  <c r="H31" i="4" s="1"/>
  <c r="I47" i="4"/>
  <c r="I48" i="4" s="1"/>
  <c r="U47" i="4" s="1"/>
  <c r="T57" i="4"/>
  <c r="Z60" i="4"/>
  <c r="K69" i="4"/>
  <c r="K70" i="4" s="1"/>
  <c r="W69" i="4" s="1"/>
  <c r="AC70" i="4"/>
  <c r="AC84" i="4"/>
  <c r="U82" i="4"/>
  <c r="AC88" i="4"/>
  <c r="T97" i="4"/>
  <c r="W96" i="4"/>
  <c r="X99" i="4"/>
  <c r="V110" i="4"/>
  <c r="AC123" i="4"/>
  <c r="T121" i="4"/>
  <c r="V124" i="4"/>
  <c r="P132" i="4"/>
  <c r="AB131" i="4" s="1"/>
  <c r="AB130" i="4"/>
  <c r="M52" i="4"/>
  <c r="L52" i="4"/>
  <c r="H52" i="4"/>
  <c r="H53" i="4" s="1"/>
  <c r="T75" i="4"/>
  <c r="V82" i="4"/>
  <c r="Y99" i="4"/>
  <c r="Y116" i="4"/>
  <c r="T125" i="4"/>
  <c r="T66" i="4"/>
  <c r="AA65" i="4"/>
  <c r="P69" i="4"/>
  <c r="P70" i="4" s="1"/>
  <c r="AB69" i="4" s="1"/>
  <c r="N69" i="4"/>
  <c r="M69" i="4"/>
  <c r="M70" i="4" s="1"/>
  <c r="Y69" i="4" s="1"/>
  <c r="L69" i="4"/>
  <c r="L70" i="4" s="1"/>
  <c r="X69" i="4" s="1"/>
  <c r="I69" i="4"/>
  <c r="V68" i="4"/>
  <c r="I101" i="4"/>
  <c r="U100" i="4" s="1"/>
  <c r="U99" i="4"/>
  <c r="Z99" i="4"/>
  <c r="X124" i="4"/>
  <c r="X127" i="4"/>
  <c r="AB65" i="4"/>
  <c r="Z71" i="4"/>
  <c r="Z74" i="4"/>
  <c r="N76" i="4"/>
  <c r="Z75" i="4" s="1"/>
  <c r="Z80" i="4"/>
  <c r="AB97" i="4"/>
  <c r="M129" i="4"/>
  <c r="Y128" i="4" s="1"/>
  <c r="Y127" i="4"/>
  <c r="L61" i="4"/>
  <c r="H80" i="4"/>
  <c r="I97" i="4"/>
  <c r="K100" i="4"/>
  <c r="H108" i="4"/>
  <c r="AA113" i="4"/>
  <c r="V116" i="4"/>
  <c r="L117" i="4"/>
  <c r="X121" i="4"/>
  <c r="I125" i="4"/>
  <c r="U127" i="4"/>
  <c r="K128" i="4"/>
  <c r="K80" i="4"/>
  <c r="K81" i="4" s="1"/>
  <c r="W80" i="4" s="1"/>
  <c r="L97" i="4"/>
  <c r="L98" i="4" s="1"/>
  <c r="X97" i="4" s="1"/>
  <c r="N100" i="4"/>
  <c r="N101" i="4" s="1"/>
  <c r="Z100" i="4" s="1"/>
  <c r="I103" i="4"/>
  <c r="I104" i="4" s="1"/>
  <c r="U103" i="4" s="1"/>
  <c r="K108" i="4"/>
  <c r="K109" i="4" s="1"/>
  <c r="W108" i="4" s="1"/>
  <c r="L125" i="4"/>
  <c r="L126" i="4" s="1"/>
  <c r="X125" i="4" s="1"/>
  <c r="N128" i="4"/>
  <c r="N129" i="4" s="1"/>
  <c r="Z128" i="4" s="1"/>
  <c r="I131" i="4"/>
  <c r="I132" i="4" s="1"/>
  <c r="U131" i="4" s="1"/>
  <c r="I58" i="4"/>
  <c r="I59" i="4" s="1"/>
  <c r="U58" i="4" s="1"/>
  <c r="AC58" i="4" s="1"/>
  <c r="L80" i="4"/>
  <c r="P81" i="4"/>
  <c r="AB80" i="4" s="1"/>
  <c r="M87" i="4"/>
  <c r="Y86" i="4" s="1"/>
  <c r="H90" i="4"/>
  <c r="J95" i="4"/>
  <c r="V94" i="4" s="1"/>
  <c r="M97" i="4"/>
  <c r="O100" i="4"/>
  <c r="J103" i="4"/>
  <c r="J104" i="4" s="1"/>
  <c r="V103" i="4" s="1"/>
  <c r="L108" i="4"/>
  <c r="L109" i="4" s="1"/>
  <c r="X108" i="4" s="1"/>
  <c r="P109" i="4"/>
  <c r="AB108" i="4" s="1"/>
  <c r="I114" i="4"/>
  <c r="I115" i="4" s="1"/>
  <c r="U114" i="4" s="1"/>
  <c r="M115" i="4"/>
  <c r="Y114" i="4" s="1"/>
  <c r="H118" i="4"/>
  <c r="J123" i="4"/>
  <c r="V122" i="4" s="1"/>
  <c r="M125" i="4"/>
  <c r="M126" i="4" s="1"/>
  <c r="Y125" i="4" s="1"/>
  <c r="O128" i="4"/>
  <c r="O129" i="4" s="1"/>
  <c r="AA128" i="4" s="1"/>
  <c r="J131" i="4"/>
  <c r="J132" i="4" s="1"/>
  <c r="V131" i="4" s="1"/>
  <c r="T85" i="4"/>
  <c r="AC85" i="4" s="1"/>
  <c r="N97" i="4"/>
  <c r="P100" i="4"/>
  <c r="U102" i="4"/>
  <c r="K103" i="4"/>
  <c r="T113" i="4"/>
  <c r="N125" i="4"/>
  <c r="P128" i="4"/>
  <c r="K131" i="4"/>
  <c r="O97" i="4"/>
  <c r="O98" i="4" s="1"/>
  <c r="AA97" i="4" s="1"/>
  <c r="L103" i="4"/>
  <c r="L104" i="4" s="1"/>
  <c r="X103" i="4" s="1"/>
  <c r="O125" i="4"/>
  <c r="O126" i="4" s="1"/>
  <c r="AA125" i="4" s="1"/>
  <c r="L131" i="4"/>
  <c r="L132" i="4" s="1"/>
  <c r="X131" i="4" s="1"/>
  <c r="M103" i="4"/>
  <c r="M104" i="4" s="1"/>
  <c r="Y103" i="4" s="1"/>
  <c r="M131" i="4"/>
  <c r="M132" i="4" s="1"/>
  <c r="Y131" i="4" s="1"/>
  <c r="N103" i="4"/>
  <c r="N131" i="4"/>
  <c r="H100" i="4"/>
  <c r="O103" i="4"/>
  <c r="O131" i="4"/>
  <c r="T89" i="4" l="1"/>
  <c r="AC89" i="4" s="1"/>
  <c r="AE90" i="4" s="1"/>
  <c r="Q90" i="4"/>
  <c r="X60" i="4"/>
  <c r="L62" i="4"/>
  <c r="X61" i="4" s="1"/>
  <c r="L53" i="4"/>
  <c r="X52" i="4" s="1"/>
  <c r="X51" i="4"/>
  <c r="Q123" i="4"/>
  <c r="H70" i="4"/>
  <c r="T68" i="4"/>
  <c r="J28" i="4"/>
  <c r="V26" i="4"/>
  <c r="AC26" i="4" s="1"/>
  <c r="L56" i="4"/>
  <c r="X55" i="4" s="1"/>
  <c r="X54" i="4"/>
  <c r="X66" i="4"/>
  <c r="Q67" i="4"/>
  <c r="T23" i="4"/>
  <c r="H25" i="4"/>
  <c r="K129" i="4"/>
  <c r="W128" i="4" s="1"/>
  <c r="W127" i="4"/>
  <c r="AC66" i="4"/>
  <c r="Y51" i="4"/>
  <c r="M53" i="4"/>
  <c r="Y52" i="4" s="1"/>
  <c r="J76" i="4"/>
  <c r="V75" i="4" s="1"/>
  <c r="V74" i="4"/>
  <c r="M20" i="4"/>
  <c r="Y19" i="4" s="1"/>
  <c r="AC19" i="4" s="1"/>
  <c r="Y18" i="4"/>
  <c r="L14" i="4"/>
  <c r="X13" i="4" s="1"/>
  <c r="X12" i="4"/>
  <c r="W130" i="4"/>
  <c r="K132" i="4"/>
  <c r="W131" i="4" s="1"/>
  <c r="W74" i="4"/>
  <c r="K76" i="4"/>
  <c r="W75" i="4" s="1"/>
  <c r="L20" i="4"/>
  <c r="X19" i="4" s="1"/>
  <c r="X18" i="4"/>
  <c r="AC18" i="4" s="1"/>
  <c r="H56" i="4"/>
  <c r="T54" i="4"/>
  <c r="O14" i="4"/>
  <c r="AA13" i="4" s="1"/>
  <c r="AA12" i="4"/>
  <c r="V23" i="4"/>
  <c r="J25" i="4"/>
  <c r="V24" i="4" s="1"/>
  <c r="AA102" i="4"/>
  <c r="O104" i="4"/>
  <c r="AA103" i="4" s="1"/>
  <c r="Z124" i="4"/>
  <c r="N126" i="4"/>
  <c r="Z125" i="4" s="1"/>
  <c r="W51" i="4"/>
  <c r="O84" i="4"/>
  <c r="AA83" i="4" s="1"/>
  <c r="AA82" i="4"/>
  <c r="T128" i="4"/>
  <c r="Q129" i="4"/>
  <c r="O76" i="4"/>
  <c r="AA75" i="4" s="1"/>
  <c r="AA74" i="4"/>
  <c r="AC60" i="4"/>
  <c r="X43" i="4"/>
  <c r="Z54" i="4"/>
  <c r="O112" i="4"/>
  <c r="AA111" i="4" s="1"/>
  <c r="AA110" i="4"/>
  <c r="U46" i="4"/>
  <c r="AC46" i="4" s="1"/>
  <c r="O42" i="4"/>
  <c r="AA41" i="4" s="1"/>
  <c r="AA40" i="4"/>
  <c r="X40" i="4"/>
  <c r="Y68" i="4"/>
  <c r="Z51" i="4"/>
  <c r="N25" i="4"/>
  <c r="Z24" i="4" s="1"/>
  <c r="Z23" i="4"/>
  <c r="T99" i="4"/>
  <c r="H101" i="4"/>
  <c r="L118" i="4"/>
  <c r="X117" i="4" s="1"/>
  <c r="X116" i="4"/>
  <c r="AC116" i="4" s="1"/>
  <c r="Q115" i="4"/>
  <c r="AC121" i="4"/>
  <c r="AC40" i="4"/>
  <c r="AA26" i="4"/>
  <c r="O28" i="4"/>
  <c r="AA27" i="4" s="1"/>
  <c r="T82" i="4"/>
  <c r="H84" i="4"/>
  <c r="AB74" i="4"/>
  <c r="P76" i="4"/>
  <c r="AB75" i="4" s="1"/>
  <c r="T61" i="4"/>
  <c r="AC61" i="4" s="1"/>
  <c r="AE62" i="4" s="1"/>
  <c r="Q62" i="4"/>
  <c r="T110" i="4"/>
  <c r="H112" i="4"/>
  <c r="V43" i="4"/>
  <c r="AC43" i="4" s="1"/>
  <c r="T51" i="4"/>
  <c r="W32" i="4"/>
  <c r="AC32" i="4" s="1"/>
  <c r="W23" i="4"/>
  <c r="Z130" i="4"/>
  <c r="N132" i="4"/>
  <c r="Z131" i="4" s="1"/>
  <c r="W102" i="4"/>
  <c r="K104" i="4"/>
  <c r="W103" i="4" s="1"/>
  <c r="U74" i="4"/>
  <c r="AC74" i="4" s="1"/>
  <c r="AC57" i="4"/>
  <c r="K73" i="4"/>
  <c r="W72" i="4" s="1"/>
  <c r="W71" i="4"/>
  <c r="V130" i="4"/>
  <c r="X68" i="4"/>
  <c r="T29" i="4"/>
  <c r="Q59" i="4"/>
  <c r="AC16" i="4"/>
  <c r="AB127" i="4"/>
  <c r="P129" i="4"/>
  <c r="AB128" i="4" s="1"/>
  <c r="Y124" i="4"/>
  <c r="Z102" i="4"/>
  <c r="N104" i="4"/>
  <c r="Z103" i="4" s="1"/>
  <c r="AC103" i="4" s="1"/>
  <c r="I70" i="4"/>
  <c r="U69" i="4" s="1"/>
  <c r="U68" i="4"/>
  <c r="X96" i="4"/>
  <c r="X107" i="4"/>
  <c r="AA54" i="4"/>
  <c r="U113" i="4"/>
  <c r="AC113" i="4" s="1"/>
  <c r="X32" i="4"/>
  <c r="L34" i="4"/>
  <c r="X33" i="4" s="1"/>
  <c r="Q17" i="4"/>
  <c r="T117" i="4"/>
  <c r="AC117" i="4" s="1"/>
  <c r="AE118" i="4" s="1"/>
  <c r="Q118" i="4"/>
  <c r="AB99" i="4"/>
  <c r="P101" i="4"/>
  <c r="AB100" i="4" s="1"/>
  <c r="H109" i="4"/>
  <c r="T107" i="4"/>
  <c r="AC107" i="4" s="1"/>
  <c r="T30" i="4"/>
  <c r="O53" i="4"/>
  <c r="AA52" i="4" s="1"/>
  <c r="AA51" i="4"/>
  <c r="O73" i="4"/>
  <c r="AA72" i="4" s="1"/>
  <c r="AA71" i="4"/>
  <c r="T12" i="4"/>
  <c r="W82" i="4"/>
  <c r="K84" i="4"/>
  <c r="W83" i="4" s="1"/>
  <c r="U57" i="4"/>
  <c r="Y54" i="4"/>
  <c r="M56" i="4"/>
  <c r="Y55" i="4" s="1"/>
  <c r="W110" i="4"/>
  <c r="K112" i="4"/>
  <c r="W111" i="4" s="1"/>
  <c r="X23" i="4"/>
  <c r="L25" i="4"/>
  <c r="X24" i="4" s="1"/>
  <c r="AC44" i="4"/>
  <c r="AB26" i="4"/>
  <c r="Z96" i="4"/>
  <c r="N98" i="4"/>
  <c r="Z97" i="4" s="1"/>
  <c r="AA99" i="4"/>
  <c r="O101" i="4"/>
  <c r="AA100" i="4" s="1"/>
  <c r="K101" i="4"/>
  <c r="W100" i="4" s="1"/>
  <c r="W99" i="4"/>
  <c r="AC75" i="4"/>
  <c r="Y130" i="4"/>
  <c r="X130" i="4"/>
  <c r="AC130" i="4" s="1"/>
  <c r="AB71" i="4"/>
  <c r="P73" i="4"/>
  <c r="AB72" i="4" s="1"/>
  <c r="Y102" i="4"/>
  <c r="X102" i="4"/>
  <c r="AC102" i="4" s="1"/>
  <c r="X82" i="4"/>
  <c r="L84" i="4"/>
  <c r="X83" i="4" s="1"/>
  <c r="M48" i="4"/>
  <c r="Y46" i="4"/>
  <c r="I56" i="4"/>
  <c r="U55" i="4" s="1"/>
  <c r="U54" i="4"/>
  <c r="U23" i="4"/>
  <c r="X110" i="4"/>
  <c r="L112" i="4"/>
  <c r="X111" i="4" s="1"/>
  <c r="Z40" i="4"/>
  <c r="P42" i="4"/>
  <c r="AB41" i="4" s="1"/>
  <c r="AB40" i="4"/>
  <c r="Q45" i="4"/>
  <c r="Z26" i="4"/>
  <c r="L81" i="4"/>
  <c r="X80" i="4" s="1"/>
  <c r="X79" i="4"/>
  <c r="Y96" i="4"/>
  <c r="M98" i="4"/>
  <c r="Y97" i="4" s="1"/>
  <c r="I98" i="4"/>
  <c r="U96" i="4"/>
  <c r="W68" i="4"/>
  <c r="Z68" i="4"/>
  <c r="N70" i="4"/>
  <c r="Z69" i="4" s="1"/>
  <c r="H73" i="4"/>
  <c r="T71" i="4"/>
  <c r="AC94" i="4"/>
  <c r="M84" i="4"/>
  <c r="Y83" i="4" s="1"/>
  <c r="Y82" i="4"/>
  <c r="AA96" i="4"/>
  <c r="I39" i="4"/>
  <c r="U37" i="4"/>
  <c r="AC37" i="4" s="1"/>
  <c r="V54" i="4"/>
  <c r="J56" i="4"/>
  <c r="V55" i="4" s="1"/>
  <c r="M112" i="4"/>
  <c r="Y111" i="4" s="1"/>
  <c r="Y110" i="4"/>
  <c r="T41" i="4"/>
  <c r="P14" i="4"/>
  <c r="AB13" i="4" s="1"/>
  <c r="AB12" i="4"/>
  <c r="AA127" i="4"/>
  <c r="AC127" i="4" s="1"/>
  <c r="O34" i="4"/>
  <c r="AA33" i="4" s="1"/>
  <c r="AC33" i="4" s="1"/>
  <c r="AA32" i="4"/>
  <c r="W40" i="4"/>
  <c r="AA130" i="4"/>
  <c r="O132" i="4"/>
  <c r="AA131" i="4" s="1"/>
  <c r="I126" i="4"/>
  <c r="U124" i="4"/>
  <c r="Y40" i="4"/>
  <c r="M42" i="4"/>
  <c r="Y41" i="4" s="1"/>
  <c r="H81" i="4"/>
  <c r="T79" i="4"/>
  <c r="T52" i="4"/>
  <c r="AC52" i="4" s="1"/>
  <c r="T131" i="4"/>
  <c r="AC131" i="4" s="1"/>
  <c r="AC122" i="4"/>
  <c r="U71" i="4"/>
  <c r="I73" i="4"/>
  <c r="U72" i="4" s="1"/>
  <c r="Q95" i="4"/>
  <c r="N84" i="4"/>
  <c r="Z83" i="4" s="1"/>
  <c r="Z82" i="4"/>
  <c r="Q87" i="4"/>
  <c r="L31" i="4"/>
  <c r="X30" i="4" s="1"/>
  <c r="X29" i="4"/>
  <c r="K56" i="4"/>
  <c r="W55" i="4" s="1"/>
  <c r="W54" i="4"/>
  <c r="N112" i="4"/>
  <c r="Z111" i="4" s="1"/>
  <c r="Z110" i="4"/>
  <c r="U40" i="4"/>
  <c r="I42" i="4"/>
  <c r="U41" i="4" s="1"/>
  <c r="T13" i="4"/>
  <c r="AB32" i="4"/>
  <c r="P34" i="4"/>
  <c r="AB33" i="4" s="1"/>
  <c r="O25" i="4"/>
  <c r="AA24" i="4" s="1"/>
  <c r="AA23" i="4"/>
  <c r="Q25" i="4" l="1"/>
  <c r="T24" i="4"/>
  <c r="AC24" i="4" s="1"/>
  <c r="Q132" i="4"/>
  <c r="T69" i="4"/>
  <c r="AC69" i="4" s="1"/>
  <c r="Q70" i="4"/>
  <c r="Q53" i="4"/>
  <c r="AC96" i="4"/>
  <c r="AE48" i="4"/>
  <c r="AC110" i="4"/>
  <c r="AC23" i="4"/>
  <c r="Q14" i="4"/>
  <c r="AC79" i="4"/>
  <c r="U97" i="4"/>
  <c r="AC97" i="4" s="1"/>
  <c r="AE98" i="4" s="1"/>
  <c r="Q98" i="4"/>
  <c r="Q34" i="4"/>
  <c r="U38" i="4"/>
  <c r="AC38" i="4" s="1"/>
  <c r="Q39" i="4"/>
  <c r="AC13" i="4"/>
  <c r="T80" i="4"/>
  <c r="AC80" i="4" s="1"/>
  <c r="Q81" i="4"/>
  <c r="AC54" i="4"/>
  <c r="AC41" i="4"/>
  <c r="AE20" i="4"/>
  <c r="AF20" i="4"/>
  <c r="Q56" i="4"/>
  <c r="T55" i="4"/>
  <c r="AC55" i="4" s="1"/>
  <c r="AF56" i="4" s="1"/>
  <c r="Q104" i="4"/>
  <c r="Q42" i="4"/>
  <c r="Q31" i="4"/>
  <c r="T100" i="4"/>
  <c r="AC100" i="4" s="1"/>
  <c r="AF98" i="4" s="1"/>
  <c r="Q101" i="4"/>
  <c r="AC12" i="4"/>
  <c r="AC124" i="4"/>
  <c r="Q20" i="4"/>
  <c r="AC71" i="4"/>
  <c r="AC30" i="4"/>
  <c r="AC29" i="4"/>
  <c r="AC99" i="4"/>
  <c r="U125" i="4"/>
  <c r="AC125" i="4" s="1"/>
  <c r="AE126" i="4" s="1"/>
  <c r="Q126" i="4"/>
  <c r="T72" i="4"/>
  <c r="AC72" i="4" s="1"/>
  <c r="AF70" i="4" s="1"/>
  <c r="Q73" i="4"/>
  <c r="Y47" i="4"/>
  <c r="AC47" i="4" s="1"/>
  <c r="Q48" i="4"/>
  <c r="Q84" i="4"/>
  <c r="T83" i="4"/>
  <c r="AC83" i="4" s="1"/>
  <c r="Q112" i="4"/>
  <c r="T111" i="4"/>
  <c r="AC111" i="4" s="1"/>
  <c r="T108" i="4"/>
  <c r="AC108" i="4" s="1"/>
  <c r="Q109" i="4"/>
  <c r="AC82" i="4"/>
  <c r="Q28" i="4"/>
  <c r="V27" i="4"/>
  <c r="AC27" i="4" s="1"/>
  <c r="AC128" i="4"/>
  <c r="Q76" i="4"/>
  <c r="AC51" i="4"/>
  <c r="AE70" i="4"/>
  <c r="AC68" i="4"/>
  <c r="AE112" i="4" l="1"/>
  <c r="AF112" i="4"/>
  <c r="AF118" i="4"/>
  <c r="AF14" i="4"/>
  <c r="AE14" i="4"/>
  <c r="AG14" i="4" s="1"/>
  <c r="AF126" i="4"/>
  <c r="AF42" i="4"/>
  <c r="AI42" i="4" s="1"/>
  <c r="AE42" i="4"/>
  <c r="AG42" i="4" s="1"/>
  <c r="AG70" i="4"/>
  <c r="AI70" i="4" s="1"/>
  <c r="AF34" i="4"/>
  <c r="AE34" i="4"/>
  <c r="AF62" i="4"/>
  <c r="AF28" i="4"/>
  <c r="AI28" i="4" s="1"/>
  <c r="AE28" i="4"/>
  <c r="AG28" i="4" s="1"/>
  <c r="AF132" i="4"/>
  <c r="AE132" i="4"/>
  <c r="AG132" i="4" s="1"/>
  <c r="AE56" i="4"/>
  <c r="AF104" i="4"/>
  <c r="AE104" i="4"/>
  <c r="AG104" i="4" s="1"/>
  <c r="AF76" i="4"/>
  <c r="AE76" i="4"/>
  <c r="AG76" i="4" s="1"/>
  <c r="AE84" i="4"/>
  <c r="AF84" i="4"/>
  <c r="AF90" i="4"/>
  <c r="AF48" i="4"/>
  <c r="AI132" i="4" l="1"/>
  <c r="AG56" i="4"/>
  <c r="AI56" i="4" s="1"/>
  <c r="AG62" i="4"/>
  <c r="AI14" i="4"/>
  <c r="AI84" i="4"/>
  <c r="AG20" i="4"/>
  <c r="AI20" i="4" s="1"/>
  <c r="AI112" i="4"/>
  <c r="AI118" i="4"/>
  <c r="AG84" i="4"/>
  <c r="AG90" i="4"/>
  <c r="AI90" i="4" s="1"/>
  <c r="AI62" i="4"/>
  <c r="AG112" i="4"/>
  <c r="AG118" i="4"/>
  <c r="AG98" i="4"/>
  <c r="AI98" i="4" s="1"/>
  <c r="AI76" i="4"/>
  <c r="AG34" i="4"/>
  <c r="AG48" i="4"/>
  <c r="AI48" i="4" s="1"/>
  <c r="AI34" i="4"/>
  <c r="AG126" i="4"/>
  <c r="AI126" i="4" s="1"/>
  <c r="AI104" i="4"/>
</calcChain>
</file>

<file path=xl/sharedStrings.xml><?xml version="1.0" encoding="utf-8"?>
<sst xmlns="http://schemas.openxmlformats.org/spreadsheetml/2006/main" count="800" uniqueCount="105">
  <si>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</si>
  <si>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</si>
  <si>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</si>
  <si>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</si>
  <si>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</si>
  <si>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</si>
  <si>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</si>
  <si>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</si>
  <si>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</si>
  <si>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Brian Charles</t>
  </si>
  <si>
    <t>Karl Dagg</t>
  </si>
  <si>
    <t>Jack West</t>
  </si>
  <si>
    <t>Ron Herman</t>
  </si>
  <si>
    <t>Tom Mulvey</t>
  </si>
  <si>
    <t>Chris Nelson</t>
  </si>
  <si>
    <t>Gabe Lorenz</t>
  </si>
  <si>
    <t>Jake Huckestein</t>
  </si>
  <si>
    <t>Rhonda Lukas</t>
  </si>
  <si>
    <t>Carol Blizard</t>
  </si>
  <si>
    <t>John Harvey</t>
  </si>
  <si>
    <t>Jeff Rowles</t>
  </si>
  <si>
    <t>Baz Mistry</t>
  </si>
  <si>
    <t>Sanjay Reddy</t>
  </si>
  <si>
    <t>John Franks</t>
  </si>
  <si>
    <t>Scott Lightbody</t>
  </si>
  <si>
    <t>Jacob Deshaies</t>
  </si>
  <si>
    <t>Scott Glascott</t>
  </si>
  <si>
    <t>Barry Pavelik</t>
  </si>
  <si>
    <t>Mark Mitchell</t>
  </si>
  <si>
    <t>Steve Brosius</t>
  </si>
  <si>
    <t>Mike Albano</t>
  </si>
  <si>
    <t>Russ Posey</t>
  </si>
  <si>
    <t>Aret Minasian</t>
  </si>
  <si>
    <t>Chris Fahey</t>
  </si>
  <si>
    <t>JC Olivos</t>
  </si>
  <si>
    <t>Jesse Jurden</t>
  </si>
  <si>
    <t>Tracy Schantz</t>
  </si>
  <si>
    <t>Betsy Wagner</t>
  </si>
  <si>
    <t>Gordon Hammond</t>
  </si>
  <si>
    <t>Scot Pineno</t>
  </si>
  <si>
    <t>Scott MacKenzie</t>
  </si>
  <si>
    <t>Bob Saenz</t>
  </si>
  <si>
    <t>Dennis Huston</t>
  </si>
  <si>
    <t>Jack Carickhoff</t>
  </si>
  <si>
    <t>Mike Celenza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</si>
  <si>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</si>
  <si>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</si>
  <si>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</si>
  <si>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</si>
  <si>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</si>
  <si>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</si>
  <si>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</si>
  <si>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</si>
  <si>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</si>
  <si>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</si>
  <si>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</si>
  <si>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</si>
  <si>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</si>
  <si>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</si>
  <si>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</si>
  <si>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</si>
  <si>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</si>
  <si>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</si>
  <si>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</si>
  <si>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</si>
  <si>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</si>
  <si>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</si>
  <si>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</si>
  <si>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</si>
  <si>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</si>
  <si>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Tracy Shantz</t>
  </si>
  <si>
    <t>Jake Deshaies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</si>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</sst>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5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2" fillId="7" borderId="7" xfId="0" applyFont="1" applyFill="1" applyBorder="1"/>
    <xf numFmtId="0" fontId="1" fillId="2" borderId="7" xfId="1" applyBorder="1"/>
    <xf numFmtId="0" fontId="1" fillId="7" borderId="7" xfId="1" applyFill="1" applyBorder="1"/>
    <xf numFmtId="0" fontId="13" fillId="0" borderId="0" xfId="0" applyFont="1" applyAlignment="1">
      <alignment vertical="center"/>
    </xf>
    <xf numFmtId="0" fontId="12" fillId="7" borderId="0" xfId="0" applyFont="1" applyFill="1"/>
    <xf numFmtId="0" fontId="8" fillId="7" borderId="7" xfId="0" applyFont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7"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D75A64EC-82D3-418C-AEA1-13BC7A0C4B28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2C5391B0-6A51-4234-9F7B-460AB0CF95DB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212271</xdr:colOff>
          <xdr:row>1</xdr:row>
          <xdr:rowOff>119743</xdr:rowOff>
        </xdr:from>
        <xdr:to>
          <xdr:col>15</xdr:col>
          <xdr:colOff>32657</xdr:colOff>
          <xdr:row>3</xdr:row>
          <xdr:rowOff>108857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E23A0C5E-5BA8-4728-A253-5683E70664C2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212271</xdr:colOff>
          <xdr:row>1</xdr:row>
          <xdr:rowOff>119743</xdr:rowOff>
        </xdr:from>
        <xdr:to>
          <xdr:col>15</xdr:col>
          <xdr:colOff>32657</xdr:colOff>
          <xdr:row>3</xdr:row>
          <xdr:rowOff>108857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BC74360C-1363-4BE5-8758-47E55E92CD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4" name="Bevel 1">
          <a:extLst>
            <a:ext uri="{FF2B5EF4-FFF2-40B4-BE49-F238E27FC236}">
              <a16:creationId xmlns:a16="http://schemas.microsoft.com/office/drawing/2014/main" id="{39252232-0CB0-44D9-9628-5B692B4E0A85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212271</xdr:colOff>
          <xdr:row>1</xdr:row>
          <xdr:rowOff>119743</xdr:rowOff>
        </xdr:from>
        <xdr:to>
          <xdr:col>15</xdr:col>
          <xdr:colOff>32657</xdr:colOff>
          <xdr:row>3</xdr:row>
          <xdr:rowOff>108857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1EC5687C-ABF5-4181-BD3F-FF4795475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an\OneDrive\Golf%20League\2025\Golf%20League%20Master%20v2.2025.xls" TargetMode="External"/><Relationship Id="rId1" Type="http://schemas.openxmlformats.org/officeDocument/2006/relationships/externalLinkPath" Target="file:///C:\Users\brian\OneDrive\Golf%20League\2025\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5&quot;)"/>
      <definedName name="WeeksScoringTasks(&quot;Week6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42</v>
          </cell>
          <cell r="H4">
            <v>43</v>
          </cell>
          <cell r="I4">
            <v>0</v>
          </cell>
          <cell r="J4">
            <v>0</v>
          </cell>
          <cell r="K4" t="e">
            <v>#N/A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42</v>
          </cell>
          <cell r="AA4">
            <v>43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  <cell r="AV4">
            <v>6</v>
          </cell>
          <cell r="AW4">
            <v>6</v>
          </cell>
          <cell r="AX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42</v>
          </cell>
          <cell r="H5">
            <v>38</v>
          </cell>
          <cell r="I5">
            <v>0</v>
          </cell>
          <cell r="J5">
            <v>0</v>
          </cell>
          <cell r="K5" t="e">
            <v>#N/A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42</v>
          </cell>
          <cell r="AA5">
            <v>38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  <cell r="AW5">
            <v>5</v>
          </cell>
          <cell r="AX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45</v>
          </cell>
          <cell r="H6">
            <v>48</v>
          </cell>
          <cell r="I6">
            <v>0</v>
          </cell>
          <cell r="J6">
            <v>0</v>
          </cell>
          <cell r="K6" t="e">
            <v>#N/A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45</v>
          </cell>
          <cell r="AA6">
            <v>48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  <cell r="AV6">
            <v>8</v>
          </cell>
          <cell r="AW6">
            <v>9</v>
          </cell>
          <cell r="AX6">
            <v>9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>
            <v>48</v>
          </cell>
          <cell r="I7">
            <v>0</v>
          </cell>
          <cell r="J7">
            <v>0</v>
          </cell>
          <cell r="K7" t="e">
            <v>#N/A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48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  <cell r="AV7">
            <v>10</v>
          </cell>
          <cell r="AW7">
            <v>10</v>
          </cell>
          <cell r="AX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44</v>
          </cell>
          <cell r="H8">
            <v>48</v>
          </cell>
          <cell r="I8">
            <v>0</v>
          </cell>
          <cell r="J8">
            <v>0</v>
          </cell>
          <cell r="K8" t="e">
            <v>#N/A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44</v>
          </cell>
          <cell r="AA8">
            <v>48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  <cell r="AV8">
            <v>8</v>
          </cell>
          <cell r="AW8">
            <v>8</v>
          </cell>
          <cell r="AX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46</v>
          </cell>
          <cell r="H9">
            <v>42</v>
          </cell>
          <cell r="I9">
            <v>0</v>
          </cell>
          <cell r="J9">
            <v>0</v>
          </cell>
          <cell r="K9" t="e">
            <v>#N/A</v>
          </cell>
          <cell r="L9" t="e">
            <v>#N/A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46</v>
          </cell>
          <cell r="AA9">
            <v>42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  <cell r="AV9">
            <v>9</v>
          </cell>
          <cell r="AW9">
            <v>9</v>
          </cell>
          <cell r="AX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 t="e">
            <v>#N/A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  <cell r="AV10">
            <v>11</v>
          </cell>
          <cell r="AW10">
            <v>11</v>
          </cell>
          <cell r="AX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>
            <v>49</v>
          </cell>
          <cell r="I11">
            <v>0</v>
          </cell>
          <cell r="J11">
            <v>0</v>
          </cell>
          <cell r="K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49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  <cell r="AV11">
            <v>12</v>
          </cell>
          <cell r="AW11">
            <v>12</v>
          </cell>
          <cell r="AX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38</v>
          </cell>
          <cell r="H12">
            <v>0</v>
          </cell>
          <cell r="I12">
            <v>0</v>
          </cell>
          <cell r="J12">
            <v>0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38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  <cell r="AV12">
            <v>2</v>
          </cell>
          <cell r="AW12">
            <v>2</v>
          </cell>
          <cell r="AX12">
            <v>2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62</v>
          </cell>
          <cell r="H13">
            <v>51</v>
          </cell>
          <cell r="I13">
            <v>0</v>
          </cell>
          <cell r="J13">
            <v>0</v>
          </cell>
          <cell r="K13" t="e">
            <v>#N/A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60</v>
          </cell>
          <cell r="AA13">
            <v>51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  <cell r="AV13">
            <v>12</v>
          </cell>
          <cell r="AW13">
            <v>12</v>
          </cell>
          <cell r="AX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43</v>
          </cell>
          <cell r="H14">
            <v>41</v>
          </cell>
          <cell r="I14">
            <v>0</v>
          </cell>
          <cell r="J14">
            <v>0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43</v>
          </cell>
          <cell r="AA14">
            <v>41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52</v>
          </cell>
          <cell r="H15">
            <v>50</v>
          </cell>
          <cell r="I15">
            <v>0</v>
          </cell>
          <cell r="J15">
            <v>0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51</v>
          </cell>
          <cell r="AA15">
            <v>50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  <cell r="AV15">
            <v>14</v>
          </cell>
          <cell r="AW15">
            <v>14</v>
          </cell>
          <cell r="AX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49</v>
          </cell>
          <cell r="H16">
            <v>46</v>
          </cell>
          <cell r="I16">
            <v>0</v>
          </cell>
          <cell r="J16">
            <v>0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49</v>
          </cell>
          <cell r="AA16">
            <v>46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  <cell r="AV16">
            <v>11</v>
          </cell>
          <cell r="AW16">
            <v>11</v>
          </cell>
          <cell r="AX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46</v>
          </cell>
          <cell r="H17">
            <v>51</v>
          </cell>
          <cell r="I17">
            <v>0</v>
          </cell>
          <cell r="J17">
            <v>0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46</v>
          </cell>
          <cell r="AA17">
            <v>51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  <cell r="AV17">
            <v>10</v>
          </cell>
          <cell r="AW17">
            <v>11</v>
          </cell>
          <cell r="AX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49</v>
          </cell>
          <cell r="H18">
            <v>47</v>
          </cell>
          <cell r="I18">
            <v>0</v>
          </cell>
          <cell r="J18">
            <v>0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49</v>
          </cell>
          <cell r="AA18">
            <v>47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  <cell r="AV18">
            <v>9</v>
          </cell>
          <cell r="AW18">
            <v>9</v>
          </cell>
          <cell r="AX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47</v>
          </cell>
          <cell r="H19">
            <v>47</v>
          </cell>
          <cell r="I19">
            <v>0</v>
          </cell>
          <cell r="J19">
            <v>0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47</v>
          </cell>
          <cell r="AA19">
            <v>47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  <cell r="AV19">
            <v>9</v>
          </cell>
          <cell r="AW19">
            <v>9</v>
          </cell>
          <cell r="AX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45</v>
          </cell>
          <cell r="H20">
            <v>45</v>
          </cell>
          <cell r="I20">
            <v>0</v>
          </cell>
          <cell r="J20">
            <v>0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45</v>
          </cell>
          <cell r="AA20">
            <v>45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  <cell r="AV20">
            <v>8</v>
          </cell>
          <cell r="AW20">
            <v>8</v>
          </cell>
          <cell r="AX20">
            <v>9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53</v>
          </cell>
          <cell r="H21">
            <v>54</v>
          </cell>
          <cell r="I21">
            <v>0</v>
          </cell>
          <cell r="J21">
            <v>0</v>
          </cell>
          <cell r="K21" t="e">
            <v>#N/A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51</v>
          </cell>
          <cell r="AA21">
            <v>50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  <cell r="AV21">
            <v>9</v>
          </cell>
          <cell r="AW21">
            <v>9</v>
          </cell>
          <cell r="AX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44</v>
          </cell>
          <cell r="H22">
            <v>44</v>
          </cell>
          <cell r="I22">
            <v>0</v>
          </cell>
          <cell r="J22">
            <v>0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44</v>
          </cell>
          <cell r="AA22">
            <v>44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  <cell r="AV22">
            <v>8</v>
          </cell>
          <cell r="AW22">
            <v>8</v>
          </cell>
          <cell r="AX22">
            <v>8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41</v>
          </cell>
          <cell r="H23">
            <v>44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41</v>
          </cell>
          <cell r="AA23">
            <v>44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  <cell r="AV23">
            <v>4</v>
          </cell>
          <cell r="AW23">
            <v>5</v>
          </cell>
          <cell r="AX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50</v>
          </cell>
          <cell r="H24">
            <v>49</v>
          </cell>
          <cell r="I24">
            <v>0</v>
          </cell>
          <cell r="J24">
            <v>0</v>
          </cell>
          <cell r="K24" t="e">
            <v>#N/A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50</v>
          </cell>
          <cell r="AA24">
            <v>49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56</v>
          </cell>
          <cell r="H25">
            <v>54</v>
          </cell>
          <cell r="I25">
            <v>0</v>
          </cell>
          <cell r="J25">
            <v>0</v>
          </cell>
          <cell r="K25" t="e">
            <v>#N/A</v>
          </cell>
          <cell r="L25" t="e">
            <v>#N/A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56</v>
          </cell>
          <cell r="AA25">
            <v>54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  <cell r="AV25">
            <v>17</v>
          </cell>
          <cell r="AW25">
            <v>17</v>
          </cell>
          <cell r="AX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50</v>
          </cell>
          <cell r="H26">
            <v>56</v>
          </cell>
          <cell r="I26">
            <v>0</v>
          </cell>
          <cell r="J26">
            <v>0</v>
          </cell>
          <cell r="K26" t="e">
            <v>#N/A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50</v>
          </cell>
          <cell r="AA26">
            <v>56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  <cell r="AV26">
            <v>13</v>
          </cell>
          <cell r="AW26">
            <v>13</v>
          </cell>
          <cell r="AX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37</v>
          </cell>
          <cell r="H27">
            <v>42</v>
          </cell>
          <cell r="I27">
            <v>0</v>
          </cell>
          <cell r="J27">
            <v>0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37</v>
          </cell>
          <cell r="AA27">
            <v>42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  <cell r="AV27">
            <v>3</v>
          </cell>
          <cell r="AW27">
            <v>4</v>
          </cell>
          <cell r="AX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>
            <v>66</v>
          </cell>
          <cell r="I28">
            <v>0</v>
          </cell>
          <cell r="J28">
            <v>0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63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  <cell r="AV28">
            <v>18</v>
          </cell>
          <cell r="AW28">
            <v>18</v>
          </cell>
          <cell r="AX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49</v>
          </cell>
          <cell r="H29">
            <v>51</v>
          </cell>
          <cell r="I29">
            <v>0</v>
          </cell>
          <cell r="J29">
            <v>0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49</v>
          </cell>
          <cell r="AA29">
            <v>51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  <cell r="AV29">
            <v>10</v>
          </cell>
          <cell r="AW29">
            <v>11</v>
          </cell>
          <cell r="AX29">
            <v>11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50</v>
          </cell>
          <cell r="H30">
            <v>0</v>
          </cell>
          <cell r="I30">
            <v>0</v>
          </cell>
          <cell r="J30">
            <v>0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50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  <cell r="AV30">
            <v>11</v>
          </cell>
          <cell r="AW30">
            <v>11</v>
          </cell>
          <cell r="AX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38</v>
          </cell>
          <cell r="H31">
            <v>36</v>
          </cell>
          <cell r="I31">
            <v>0</v>
          </cell>
          <cell r="J31">
            <v>0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38</v>
          </cell>
          <cell r="AA31">
            <v>36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  <cell r="AV31">
            <v>2</v>
          </cell>
          <cell r="AW31">
            <v>1</v>
          </cell>
          <cell r="AX31">
            <v>1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55</v>
          </cell>
          <cell r="H32">
            <v>0</v>
          </cell>
          <cell r="I32">
            <v>0</v>
          </cell>
          <cell r="J32">
            <v>0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  <cell r="AV32">
            <v>13</v>
          </cell>
          <cell r="AW32">
            <v>13</v>
          </cell>
          <cell r="AX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44</v>
          </cell>
          <cell r="H33">
            <v>49</v>
          </cell>
          <cell r="I33">
            <v>0</v>
          </cell>
          <cell r="J33">
            <v>0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44</v>
          </cell>
          <cell r="AA33">
            <v>49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  <cell r="AV33">
            <v>8</v>
          </cell>
          <cell r="AW33">
            <v>8</v>
          </cell>
          <cell r="AX33">
            <v>8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46</v>
          </cell>
          <cell r="H34">
            <v>42</v>
          </cell>
          <cell r="I34">
            <v>0</v>
          </cell>
          <cell r="J34">
            <v>0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46</v>
          </cell>
          <cell r="AA34">
            <v>42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  <cell r="AV34">
            <v>9</v>
          </cell>
          <cell r="AW34">
            <v>8</v>
          </cell>
          <cell r="AX34">
            <v>8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71</v>
          </cell>
          <cell r="H35">
            <v>69</v>
          </cell>
          <cell r="I35">
            <v>0</v>
          </cell>
          <cell r="J35">
            <v>0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70</v>
          </cell>
          <cell r="AA35">
            <v>69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  <cell r="AV35">
            <v>31</v>
          </cell>
          <cell r="AW35">
            <v>31</v>
          </cell>
          <cell r="AX35">
            <v>31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50</v>
          </cell>
          <cell r="H36">
            <v>49</v>
          </cell>
          <cell r="I36">
            <v>0</v>
          </cell>
          <cell r="J36">
            <v>0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50</v>
          </cell>
          <cell r="AA36">
            <v>49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  <cell r="AV36">
            <v>11</v>
          </cell>
          <cell r="AW36">
            <v>11</v>
          </cell>
          <cell r="AX36">
            <v>11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55</v>
          </cell>
          <cell r="H37">
            <v>52</v>
          </cell>
          <cell r="I37">
            <v>0</v>
          </cell>
          <cell r="J37">
            <v>0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53</v>
          </cell>
          <cell r="AA37">
            <v>52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  <cell r="AV37">
            <v>10</v>
          </cell>
          <cell r="AW37">
            <v>10</v>
          </cell>
          <cell r="AX37">
            <v>10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>
            <v>53</v>
          </cell>
          <cell r="I38">
            <v>0</v>
          </cell>
          <cell r="J38">
            <v>0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53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  <cell r="AV38">
            <v>21</v>
          </cell>
          <cell r="AW38">
            <v>20</v>
          </cell>
          <cell r="AX38">
            <v>20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51</v>
          </cell>
          <cell r="H39">
            <v>52</v>
          </cell>
          <cell r="I39">
            <v>0</v>
          </cell>
          <cell r="J39">
            <v>0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51</v>
          </cell>
          <cell r="AA39">
            <v>52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  <cell r="AV39">
            <v>12</v>
          </cell>
          <cell r="AW39">
            <v>12</v>
          </cell>
          <cell r="AX39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3988-B763-4DC1-B59F-2F290F9F74E3}">
  <dimension ref="A1:AN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3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40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40" ht="15" thickBot="1" x14ac:dyDescent="0.45">
      <c r="A2" s="87" t="s">
        <v>74</v>
      </c>
      <c r="B2" s="87"/>
      <c r="C2" s="2">
        <v>5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40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40" ht="15" thickBot="1" x14ac:dyDescent="0.45">
      <c r="A4" s="86"/>
      <c r="B4" s="2"/>
      <c r="C4" s="2"/>
      <c r="D4" s="2"/>
      <c r="E4" s="2"/>
      <c r="F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40" x14ac:dyDescent="0.4">
      <c r="A5" s="2"/>
      <c r="B5" s="2"/>
      <c r="C5" s="2"/>
      <c r="D5" s="2"/>
      <c r="E5" s="2"/>
      <c r="F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40" ht="14.25" customHeight="1" x14ac:dyDescent="0.4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40" ht="15" thickBot="1" x14ac:dyDescent="0.45">
      <c r="A7" s="2" t="s">
        <v>104</v>
      </c>
      <c r="B7" s="2"/>
      <c r="C7" s="2"/>
      <c r="D7" s="2"/>
      <c r="E7" s="2"/>
      <c r="F7" s="2"/>
      <c r="G7" s="2"/>
      <c r="H7" s="42"/>
      <c r="T7" s="88"/>
      <c r="U7" s="88"/>
      <c r="V7" s="88"/>
      <c r="W7" s="88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40" ht="15" thickBot="1" x14ac:dyDescent="0.45">
      <c r="A8" s="43" t="s">
        <v>81</v>
      </c>
      <c r="B8" s="43" t="s">
        <v>0</v>
      </c>
      <c r="C8" s="43" t="s">
        <v>6</v>
      </c>
      <c r="D8" s="43" t="s">
        <v>83</v>
      </c>
      <c r="E8" s="43" t="s">
        <v>84</v>
      </c>
      <c r="F8" s="43" t="s">
        <v>85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86</v>
      </c>
      <c r="S8" s="44" t="s">
        <v>87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K8" s="27"/>
      <c r="AL8" s="27"/>
      <c r="AN8" s="2"/>
    </row>
    <row r="9" spans="1:40" x14ac:dyDescent="0.4">
      <c r="A9" s="47">
        <v>1</v>
      </c>
      <c r="B9" s="48">
        <v>11</v>
      </c>
      <c r="C9" s="49">
        <v>21</v>
      </c>
      <c r="D9" s="48" t="s">
        <v>11</v>
      </c>
      <c r="E9" s="49"/>
      <c r="F9" s="49"/>
      <c r="G9" s="48" t="s">
        <v>88</v>
      </c>
      <c r="H9" s="49"/>
      <c r="I9" s="49"/>
      <c r="J9" s="49"/>
      <c r="K9" s="49"/>
      <c r="L9" s="49"/>
      <c r="M9" s="49"/>
      <c r="N9" s="49"/>
      <c r="O9" s="49"/>
      <c r="P9" s="49"/>
      <c r="Q9" s="50">
        <v>0</v>
      </c>
      <c r="S9" s="51" t="s">
        <v>89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3">
        <v>0</v>
      </c>
      <c r="AD9" s="41"/>
      <c r="AE9" s="2"/>
      <c r="AH9" s="2"/>
    </row>
    <row r="10" spans="1:40" x14ac:dyDescent="0.4">
      <c r="A10" s="54"/>
      <c r="B10" s="55"/>
      <c r="C10" s="55"/>
      <c r="D10" s="55"/>
      <c r="E10" s="55"/>
      <c r="F10" s="55"/>
      <c r="G10" s="43" t="s">
        <v>90</v>
      </c>
      <c r="H10" s="43">
        <v>2</v>
      </c>
      <c r="I10" s="43">
        <v>2</v>
      </c>
      <c r="J10" s="43">
        <v>1</v>
      </c>
      <c r="K10" s="43">
        <v>1</v>
      </c>
      <c r="L10" s="43">
        <v>1</v>
      </c>
      <c r="M10" s="43">
        <v>1</v>
      </c>
      <c r="N10" s="43">
        <v>2</v>
      </c>
      <c r="O10" s="43">
        <v>1</v>
      </c>
      <c r="P10" s="43">
        <v>1</v>
      </c>
      <c r="Q10" s="56">
        <v>12</v>
      </c>
      <c r="S10" s="57" t="s">
        <v>91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9">
        <v>0</v>
      </c>
      <c r="AD10" s="41"/>
      <c r="AE10" s="2"/>
      <c r="AH10" s="2"/>
    </row>
    <row r="11" spans="1:40" ht="15" thickBot="1" x14ac:dyDescent="0.45">
      <c r="A11" s="54"/>
      <c r="B11" s="55"/>
      <c r="C11" s="55"/>
      <c r="D11" s="55"/>
      <c r="E11" s="55"/>
      <c r="F11" s="55"/>
      <c r="G11" s="60" t="s">
        <v>92</v>
      </c>
      <c r="H11" s="61">
        <v>-2</v>
      </c>
      <c r="I11" s="61">
        <v>-2</v>
      </c>
      <c r="J11" s="61">
        <v>-1</v>
      </c>
      <c r="K11" s="61">
        <v>-1</v>
      </c>
      <c r="L11" s="61">
        <v>-1</v>
      </c>
      <c r="M11" s="61">
        <v>-1</v>
      </c>
      <c r="N11" s="61">
        <v>-2</v>
      </c>
      <c r="O11" s="61">
        <v>-1</v>
      </c>
      <c r="P11" s="61">
        <v>-1</v>
      </c>
      <c r="Q11" s="62">
        <v>-12</v>
      </c>
      <c r="S11" s="63" t="s">
        <v>73</v>
      </c>
      <c r="T11" s="43">
        <v>4</v>
      </c>
      <c r="U11" s="43">
        <v>3</v>
      </c>
      <c r="V11" s="43">
        <v>4</v>
      </c>
      <c r="W11" s="43">
        <v>5</v>
      </c>
      <c r="X11" s="43">
        <v>4</v>
      </c>
      <c r="Y11" s="43">
        <v>3</v>
      </c>
      <c r="Z11" s="43">
        <v>4</v>
      </c>
      <c r="AA11" s="43">
        <v>5</v>
      </c>
      <c r="AB11" s="43">
        <v>4</v>
      </c>
      <c r="AC11" s="56">
        <v>36</v>
      </c>
      <c r="AD11" s="41"/>
      <c r="AE11" s="2"/>
      <c r="AH11" s="2"/>
    </row>
    <row r="12" spans="1:40" x14ac:dyDescent="0.4">
      <c r="A12" s="64" t="s">
        <v>73</v>
      </c>
      <c r="B12" s="58">
        <v>11</v>
      </c>
      <c r="C12" s="65">
        <v>22</v>
      </c>
      <c r="D12" s="48" t="s">
        <v>12</v>
      </c>
      <c r="E12" s="65"/>
      <c r="F12" s="65"/>
      <c r="G12" s="58" t="s">
        <v>88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v>0</v>
      </c>
      <c r="S12" s="66" t="s">
        <v>89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62">
        <v>0</v>
      </c>
      <c r="AD12" s="41"/>
      <c r="AE12" s="2"/>
      <c r="AH12" s="2"/>
    </row>
    <row r="13" spans="1:40" ht="15" thickBot="1" x14ac:dyDescent="0.45">
      <c r="A13" s="54"/>
      <c r="B13" s="55"/>
      <c r="C13" s="55"/>
      <c r="D13" s="55"/>
      <c r="E13" s="55"/>
      <c r="F13" s="55"/>
      <c r="G13" s="43" t="s">
        <v>90</v>
      </c>
      <c r="H13" s="43">
        <v>2</v>
      </c>
      <c r="I13" s="43">
        <v>2</v>
      </c>
      <c r="J13" s="43">
        <v>2</v>
      </c>
      <c r="K13" s="43">
        <v>2</v>
      </c>
      <c r="L13" s="43">
        <v>2</v>
      </c>
      <c r="M13" s="43">
        <v>1</v>
      </c>
      <c r="N13" s="43">
        <v>2</v>
      </c>
      <c r="O13" s="43">
        <v>2</v>
      </c>
      <c r="P13" s="43">
        <v>2</v>
      </c>
      <c r="Q13" s="56">
        <v>17</v>
      </c>
      <c r="S13" s="57" t="s">
        <v>91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9">
        <v>0</v>
      </c>
      <c r="AD13" s="41"/>
      <c r="AE13" s="2"/>
      <c r="AH13" s="2"/>
    </row>
    <row r="14" spans="1:40" ht="15" thickBot="1" x14ac:dyDescent="0.45">
      <c r="A14" s="54"/>
      <c r="B14" s="55"/>
      <c r="C14" s="55"/>
      <c r="D14" s="55"/>
      <c r="E14" s="55"/>
      <c r="F14" s="55"/>
      <c r="G14" s="60" t="s">
        <v>92</v>
      </c>
      <c r="H14" s="61">
        <v>-2</v>
      </c>
      <c r="I14" s="61">
        <v>-2</v>
      </c>
      <c r="J14" s="61">
        <v>-2</v>
      </c>
      <c r="K14" s="61">
        <v>-2</v>
      </c>
      <c r="L14" s="61">
        <v>-2</v>
      </c>
      <c r="M14" s="61">
        <v>-1</v>
      </c>
      <c r="N14" s="61">
        <v>-2</v>
      </c>
      <c r="O14" s="61">
        <v>-2</v>
      </c>
      <c r="P14" s="61">
        <v>-2</v>
      </c>
      <c r="Q14" s="62">
        <v>-17</v>
      </c>
      <c r="S14" s="63" t="s">
        <v>73</v>
      </c>
      <c r="T14" s="43">
        <v>4</v>
      </c>
      <c r="U14" s="43">
        <v>3</v>
      </c>
      <c r="V14" s="43">
        <v>4</v>
      </c>
      <c r="W14" s="43">
        <v>5</v>
      </c>
      <c r="X14" s="43">
        <v>4</v>
      </c>
      <c r="Y14" s="43">
        <v>3</v>
      </c>
      <c r="Z14" s="43">
        <v>4</v>
      </c>
      <c r="AA14" s="43">
        <v>5</v>
      </c>
      <c r="AB14" s="43">
        <v>4</v>
      </c>
      <c r="AC14" s="56">
        <v>36</v>
      </c>
      <c r="AD14" s="41">
        <v>11</v>
      </c>
      <c r="AE14" s="67">
        <v>0</v>
      </c>
      <c r="AF14" s="67">
        <v>2</v>
      </c>
      <c r="AG14" s="67">
        <v>2</v>
      </c>
      <c r="AH14" s="68">
        <v>6</v>
      </c>
      <c r="AI14" s="68">
        <v>10</v>
      </c>
    </row>
    <row r="15" spans="1:40" x14ac:dyDescent="0.4">
      <c r="A15" s="64" t="s">
        <v>93</v>
      </c>
      <c r="B15" s="69">
        <v>2</v>
      </c>
      <c r="C15" s="70">
        <v>3</v>
      </c>
      <c r="D15" s="69" t="s">
        <v>29</v>
      </c>
      <c r="E15" s="70"/>
      <c r="F15" s="70"/>
      <c r="G15" s="69" t="s">
        <v>88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v>0</v>
      </c>
      <c r="S15" s="66" t="s">
        <v>89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62">
        <v>0</v>
      </c>
      <c r="AD15" s="41"/>
      <c r="AE15" s="2"/>
      <c r="AH15" s="2">
        <v>0</v>
      </c>
    </row>
    <row r="16" spans="1:40" x14ac:dyDescent="0.4">
      <c r="A16" s="54"/>
      <c r="B16" s="55"/>
      <c r="C16" s="55"/>
      <c r="D16" s="55"/>
      <c r="E16" s="55"/>
      <c r="F16" s="55"/>
      <c r="G16" s="43" t="s">
        <v>90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56">
        <v>9</v>
      </c>
      <c r="S16" s="72" t="s">
        <v>91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1">
        <v>0</v>
      </c>
      <c r="AD16" s="41"/>
      <c r="AE16" s="2"/>
      <c r="AH16" s="2"/>
    </row>
    <row r="17" spans="1:35" x14ac:dyDescent="0.4">
      <c r="A17" s="54"/>
      <c r="B17" s="55"/>
      <c r="C17" s="55"/>
      <c r="D17" s="55"/>
      <c r="E17" s="55"/>
      <c r="F17" s="55"/>
      <c r="G17" s="60" t="s">
        <v>92</v>
      </c>
      <c r="H17" s="61">
        <v>-1</v>
      </c>
      <c r="I17" s="61">
        <v>-1</v>
      </c>
      <c r="J17" s="61">
        <v>-1</v>
      </c>
      <c r="K17" s="61">
        <v>-1</v>
      </c>
      <c r="L17" s="61">
        <v>-1</v>
      </c>
      <c r="M17" s="61">
        <v>-1</v>
      </c>
      <c r="N17" s="61">
        <v>-1</v>
      </c>
      <c r="O17" s="61">
        <v>-1</v>
      </c>
      <c r="P17" s="61">
        <v>-1</v>
      </c>
      <c r="Q17" s="62">
        <v>-9</v>
      </c>
      <c r="S17" s="63" t="s">
        <v>73</v>
      </c>
      <c r="T17" s="43">
        <v>4</v>
      </c>
      <c r="U17" s="43">
        <v>3</v>
      </c>
      <c r="V17" s="43">
        <v>4</v>
      </c>
      <c r="W17" s="43">
        <v>5</v>
      </c>
      <c r="X17" s="43">
        <v>4</v>
      </c>
      <c r="Y17" s="43">
        <v>3</v>
      </c>
      <c r="Z17" s="43">
        <v>4</v>
      </c>
      <c r="AA17" s="43">
        <v>5</v>
      </c>
      <c r="AB17" s="43">
        <v>4</v>
      </c>
      <c r="AC17" s="56">
        <v>36</v>
      </c>
      <c r="AD17" s="41"/>
      <c r="AE17" s="2"/>
      <c r="AH17" s="2"/>
    </row>
    <row r="18" spans="1:35" x14ac:dyDescent="0.4">
      <c r="A18" s="64" t="s">
        <v>94</v>
      </c>
      <c r="B18" s="69">
        <v>2</v>
      </c>
      <c r="C18" s="70">
        <v>4</v>
      </c>
      <c r="D18" s="69" t="s">
        <v>30</v>
      </c>
      <c r="E18" s="70"/>
      <c r="F18" s="70"/>
      <c r="G18" s="69" t="s">
        <v>88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v>0</v>
      </c>
      <c r="S18" s="66" t="s">
        <v>89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62">
        <v>0</v>
      </c>
      <c r="AD18" s="41"/>
      <c r="AE18" s="2"/>
      <c r="AH18" s="2"/>
    </row>
    <row r="19" spans="1:35" ht="15" thickBot="1" x14ac:dyDescent="0.45">
      <c r="A19" s="54"/>
      <c r="B19" s="55"/>
      <c r="C19" s="55"/>
      <c r="D19" s="55"/>
      <c r="E19" s="55"/>
      <c r="F19" s="55"/>
      <c r="G19" s="43" t="s">
        <v>90</v>
      </c>
      <c r="H19" s="43">
        <v>2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56">
        <v>10</v>
      </c>
      <c r="S19" s="72" t="s">
        <v>91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1">
        <v>0</v>
      </c>
      <c r="AD19" s="41"/>
      <c r="AE19" s="2"/>
      <c r="AH19" s="2"/>
    </row>
    <row r="20" spans="1:35" ht="15" thickBot="1" x14ac:dyDescent="0.45">
      <c r="A20" s="73"/>
      <c r="B20" s="74"/>
      <c r="C20" s="74"/>
      <c r="D20" s="74"/>
      <c r="E20" s="74"/>
      <c r="F20" s="74"/>
      <c r="G20" s="75" t="s">
        <v>92</v>
      </c>
      <c r="H20" s="61">
        <v>-2</v>
      </c>
      <c r="I20" s="61">
        <v>-1</v>
      </c>
      <c r="J20" s="61">
        <v>-1</v>
      </c>
      <c r="K20" s="61">
        <v>-1</v>
      </c>
      <c r="L20" s="61">
        <v>-1</v>
      </c>
      <c r="M20" s="61">
        <v>-1</v>
      </c>
      <c r="N20" s="61">
        <v>-1</v>
      </c>
      <c r="O20" s="61">
        <v>-1</v>
      </c>
      <c r="P20" s="61">
        <v>-1</v>
      </c>
      <c r="Q20" s="76">
        <v>-10</v>
      </c>
      <c r="S20" s="28" t="s">
        <v>73</v>
      </c>
      <c r="T20" s="77">
        <v>4</v>
      </c>
      <c r="U20" s="77">
        <v>3</v>
      </c>
      <c r="V20" s="77">
        <v>4</v>
      </c>
      <c r="W20" s="77">
        <v>5</v>
      </c>
      <c r="X20" s="77">
        <v>4</v>
      </c>
      <c r="Y20" s="77">
        <v>3</v>
      </c>
      <c r="Z20" s="77">
        <v>4</v>
      </c>
      <c r="AA20" s="77">
        <v>5</v>
      </c>
      <c r="AB20" s="77">
        <v>4</v>
      </c>
      <c r="AC20" s="78">
        <v>36</v>
      </c>
      <c r="AD20" s="41">
        <v>2</v>
      </c>
      <c r="AE20" s="79">
        <v>0</v>
      </c>
      <c r="AF20" s="79">
        <v>2</v>
      </c>
      <c r="AG20" s="79">
        <v>2</v>
      </c>
      <c r="AH20" s="80">
        <v>6</v>
      </c>
      <c r="AI20" s="80">
        <v>10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45">
      <c r="A22" s="43" t="s">
        <v>81</v>
      </c>
      <c r="B22" s="43" t="s">
        <v>0</v>
      </c>
      <c r="C22" s="43" t="s">
        <v>6</v>
      </c>
      <c r="D22" s="43" t="s">
        <v>83</v>
      </c>
      <c r="E22" s="43" t="s">
        <v>84</v>
      </c>
      <c r="F22" s="43" t="s">
        <v>85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86</v>
      </c>
      <c r="S22" s="44" t="s">
        <v>87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4">
      <c r="A23" s="47">
        <v>2</v>
      </c>
      <c r="B23" s="48">
        <v>3</v>
      </c>
      <c r="C23" s="49">
        <v>5</v>
      </c>
      <c r="D23" s="48" t="s">
        <v>21</v>
      </c>
      <c r="E23" s="49"/>
      <c r="F23" s="49"/>
      <c r="G23" s="48" t="s">
        <v>88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v>0</v>
      </c>
      <c r="S23" s="51" t="s">
        <v>89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3">
        <v>0</v>
      </c>
      <c r="AD23" s="41"/>
      <c r="AE23" s="2"/>
      <c r="AH23" s="2"/>
    </row>
    <row r="24" spans="1:35" x14ac:dyDescent="0.4">
      <c r="A24" s="54"/>
      <c r="B24" s="55"/>
      <c r="C24" s="55"/>
      <c r="D24" s="55"/>
      <c r="E24" s="55"/>
      <c r="F24" s="55"/>
      <c r="G24" s="43" t="s">
        <v>90</v>
      </c>
      <c r="H24" s="43">
        <v>1</v>
      </c>
      <c r="I24" s="43">
        <v>1</v>
      </c>
      <c r="J24" s="43">
        <v>1</v>
      </c>
      <c r="K24" s="43">
        <v>1</v>
      </c>
      <c r="L24" s="43">
        <v>1</v>
      </c>
      <c r="M24" s="43">
        <v>0</v>
      </c>
      <c r="N24" s="43">
        <v>1</v>
      </c>
      <c r="O24" s="43">
        <v>1</v>
      </c>
      <c r="P24" s="43">
        <v>1</v>
      </c>
      <c r="Q24" s="56">
        <v>8</v>
      </c>
      <c r="S24" s="57" t="s">
        <v>91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5</v>
      </c>
      <c r="Z24" s="58">
        <v>0</v>
      </c>
      <c r="AA24" s="58">
        <v>0</v>
      </c>
      <c r="AB24" s="58">
        <v>0</v>
      </c>
      <c r="AC24" s="59">
        <v>5</v>
      </c>
      <c r="AD24" s="41"/>
      <c r="AE24" s="2"/>
      <c r="AH24" s="2"/>
    </row>
    <row r="25" spans="1:35" ht="15" thickBot="1" x14ac:dyDescent="0.45">
      <c r="A25" s="54"/>
      <c r="B25" s="55"/>
      <c r="C25" s="55"/>
      <c r="D25" s="55"/>
      <c r="E25" s="55"/>
      <c r="F25" s="55"/>
      <c r="G25" s="60" t="s">
        <v>92</v>
      </c>
      <c r="H25" s="61">
        <v>-1</v>
      </c>
      <c r="I25" s="61">
        <v>-1</v>
      </c>
      <c r="J25" s="61">
        <v>-1</v>
      </c>
      <c r="K25" s="61">
        <v>-1</v>
      </c>
      <c r="L25" s="61">
        <v>-1</v>
      </c>
      <c r="M25" s="61">
        <v>0</v>
      </c>
      <c r="N25" s="61">
        <v>-1</v>
      </c>
      <c r="O25" s="61">
        <v>-1</v>
      </c>
      <c r="P25" s="61">
        <v>-1</v>
      </c>
      <c r="Q25" s="62">
        <v>-8</v>
      </c>
      <c r="S25" s="63" t="s">
        <v>73</v>
      </c>
      <c r="T25" s="43">
        <v>4</v>
      </c>
      <c r="U25" s="43">
        <v>3</v>
      </c>
      <c r="V25" s="43">
        <v>4</v>
      </c>
      <c r="W25" s="43">
        <v>5</v>
      </c>
      <c r="X25" s="43">
        <v>4</v>
      </c>
      <c r="Y25" s="43">
        <v>3</v>
      </c>
      <c r="Z25" s="43">
        <v>4</v>
      </c>
      <c r="AA25" s="43">
        <v>5</v>
      </c>
      <c r="AB25" s="43">
        <v>4</v>
      </c>
      <c r="AC25" s="56">
        <v>36</v>
      </c>
      <c r="AD25" s="41"/>
      <c r="AE25" s="2"/>
      <c r="AH25" s="2"/>
    </row>
    <row r="26" spans="1:35" x14ac:dyDescent="0.4">
      <c r="A26" s="64" t="s">
        <v>73</v>
      </c>
      <c r="B26" s="58">
        <v>3</v>
      </c>
      <c r="C26" s="65">
        <v>6</v>
      </c>
      <c r="D26" s="48" t="s">
        <v>22</v>
      </c>
      <c r="E26" s="65"/>
      <c r="F26" s="65"/>
      <c r="G26" s="58" t="s">
        <v>88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v>0</v>
      </c>
      <c r="S26" s="66" t="s">
        <v>89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2">
        <v>0</v>
      </c>
      <c r="AA26" s="52">
        <v>0</v>
      </c>
      <c r="AB26" s="52">
        <v>0</v>
      </c>
      <c r="AC26" s="62">
        <v>0</v>
      </c>
      <c r="AD26" s="41"/>
      <c r="AE26" s="2"/>
      <c r="AH26" s="2"/>
    </row>
    <row r="27" spans="1:35" ht="15" thickBot="1" x14ac:dyDescent="0.45">
      <c r="A27" s="54"/>
      <c r="B27" s="55"/>
      <c r="C27" s="55"/>
      <c r="D27" s="55"/>
      <c r="E27" s="55"/>
      <c r="F27" s="55"/>
      <c r="G27" s="43" t="s">
        <v>90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1</v>
      </c>
      <c r="N27" s="43">
        <v>1</v>
      </c>
      <c r="O27" s="43">
        <v>1</v>
      </c>
      <c r="P27" s="43">
        <v>1</v>
      </c>
      <c r="Q27" s="56">
        <v>9</v>
      </c>
      <c r="S27" s="57" t="s">
        <v>91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58">
        <v>0</v>
      </c>
      <c r="AC27" s="59">
        <v>0</v>
      </c>
      <c r="AD27" s="41"/>
      <c r="AE27" s="2"/>
      <c r="AH27" s="2"/>
    </row>
    <row r="28" spans="1:35" ht="15" thickBot="1" x14ac:dyDescent="0.45">
      <c r="A28" s="54"/>
      <c r="B28" s="55"/>
      <c r="C28" s="55"/>
      <c r="D28" s="55"/>
      <c r="E28" s="55"/>
      <c r="F28" s="55"/>
      <c r="G28" s="60" t="s">
        <v>92</v>
      </c>
      <c r="H28" s="61">
        <v>-1</v>
      </c>
      <c r="I28" s="61">
        <v>-1</v>
      </c>
      <c r="J28" s="61">
        <v>-1</v>
      </c>
      <c r="K28" s="61">
        <v>-1</v>
      </c>
      <c r="L28" s="61">
        <v>-1</v>
      </c>
      <c r="M28" s="61">
        <v>-1</v>
      </c>
      <c r="N28" s="61">
        <v>-1</v>
      </c>
      <c r="O28" s="61">
        <v>-1</v>
      </c>
      <c r="P28" s="61">
        <v>-1</v>
      </c>
      <c r="Q28" s="62">
        <v>-9</v>
      </c>
      <c r="S28" s="63" t="s">
        <v>73</v>
      </c>
      <c r="T28" s="43">
        <v>4</v>
      </c>
      <c r="U28" s="43">
        <v>3</v>
      </c>
      <c r="V28" s="43">
        <v>4</v>
      </c>
      <c r="W28" s="43">
        <v>5</v>
      </c>
      <c r="X28" s="43">
        <v>4</v>
      </c>
      <c r="Y28" s="43">
        <v>3</v>
      </c>
      <c r="Z28" s="43">
        <v>4</v>
      </c>
      <c r="AA28" s="43">
        <v>5</v>
      </c>
      <c r="AB28" s="43">
        <v>4</v>
      </c>
      <c r="AC28" s="56">
        <v>36</v>
      </c>
      <c r="AD28" s="41">
        <v>3</v>
      </c>
      <c r="AE28" s="81">
        <v>5</v>
      </c>
      <c r="AF28" s="67">
        <v>3</v>
      </c>
      <c r="AG28" s="67">
        <v>4</v>
      </c>
      <c r="AH28" s="68">
        <v>8</v>
      </c>
      <c r="AI28" s="68">
        <v>15</v>
      </c>
    </row>
    <row r="29" spans="1:35" x14ac:dyDescent="0.4">
      <c r="A29" s="64" t="s">
        <v>93</v>
      </c>
      <c r="B29" s="69">
        <v>7</v>
      </c>
      <c r="C29" s="70">
        <v>13</v>
      </c>
      <c r="D29" s="69" t="s">
        <v>19</v>
      </c>
      <c r="E29" s="70"/>
      <c r="F29" s="70"/>
      <c r="G29" s="69" t="s">
        <v>88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v>0</v>
      </c>
      <c r="S29" s="66" t="s">
        <v>89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62">
        <v>0</v>
      </c>
      <c r="AD29" s="41"/>
      <c r="AE29" s="2"/>
      <c r="AH29" s="2"/>
    </row>
    <row r="30" spans="1:35" x14ac:dyDescent="0.4">
      <c r="A30" s="54"/>
      <c r="B30" s="55"/>
      <c r="C30" s="55"/>
      <c r="D30" s="55"/>
      <c r="E30" s="55"/>
      <c r="F30" s="55"/>
      <c r="G30" s="43" t="s">
        <v>90</v>
      </c>
      <c r="H30" s="43">
        <v>2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2</v>
      </c>
      <c r="O30" s="43">
        <v>1</v>
      </c>
      <c r="P30" s="43">
        <v>1</v>
      </c>
      <c r="Q30" s="56">
        <v>11</v>
      </c>
      <c r="S30" s="72" t="s">
        <v>91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1">
        <v>0</v>
      </c>
      <c r="AD30" s="41"/>
      <c r="AE30" s="2"/>
      <c r="AH30" s="2"/>
    </row>
    <row r="31" spans="1:35" x14ac:dyDescent="0.4">
      <c r="A31" s="54"/>
      <c r="B31" s="55"/>
      <c r="C31" s="55"/>
      <c r="D31" s="55"/>
      <c r="E31" s="55"/>
      <c r="F31" s="55"/>
      <c r="G31" s="60" t="s">
        <v>92</v>
      </c>
      <c r="H31" s="61">
        <v>-2</v>
      </c>
      <c r="I31" s="61">
        <v>-1</v>
      </c>
      <c r="J31" s="61">
        <v>-1</v>
      </c>
      <c r="K31" s="61">
        <v>-1</v>
      </c>
      <c r="L31" s="61">
        <v>-1</v>
      </c>
      <c r="M31" s="61">
        <v>-1</v>
      </c>
      <c r="N31" s="61">
        <v>-2</v>
      </c>
      <c r="O31" s="61">
        <v>-1</v>
      </c>
      <c r="P31" s="61">
        <v>-1</v>
      </c>
      <c r="Q31" s="62">
        <v>-11</v>
      </c>
      <c r="S31" s="63" t="s">
        <v>73</v>
      </c>
      <c r="T31" s="43">
        <v>4</v>
      </c>
      <c r="U31" s="43">
        <v>3</v>
      </c>
      <c r="V31" s="43">
        <v>4</v>
      </c>
      <c r="W31" s="43">
        <v>5</v>
      </c>
      <c r="X31" s="43">
        <v>4</v>
      </c>
      <c r="Y31" s="43">
        <v>3</v>
      </c>
      <c r="Z31" s="43">
        <v>4</v>
      </c>
      <c r="AA31" s="43">
        <v>5</v>
      </c>
      <c r="AB31" s="43">
        <v>4</v>
      </c>
      <c r="AC31" s="56">
        <v>36</v>
      </c>
      <c r="AD31" s="41"/>
      <c r="AE31" s="2"/>
      <c r="AH31" s="2"/>
    </row>
    <row r="32" spans="1:35" x14ac:dyDescent="0.4">
      <c r="A32" s="64" t="s">
        <v>95</v>
      </c>
      <c r="B32" s="69">
        <v>7</v>
      </c>
      <c r="C32" s="70">
        <v>14</v>
      </c>
      <c r="D32" s="69" t="s">
        <v>20</v>
      </c>
      <c r="E32" s="70"/>
      <c r="F32" s="70"/>
      <c r="G32" s="69" t="s">
        <v>88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v>0</v>
      </c>
      <c r="S32" s="66" t="s">
        <v>89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62">
        <v>0</v>
      </c>
      <c r="AD32" s="41"/>
      <c r="AE32" s="2"/>
      <c r="AH32" s="2"/>
    </row>
    <row r="33" spans="1:35" ht="15" thickBot="1" x14ac:dyDescent="0.45">
      <c r="A33" s="54"/>
      <c r="B33" s="55"/>
      <c r="C33" s="55"/>
      <c r="D33" s="55"/>
      <c r="E33" s="55"/>
      <c r="F33" s="55"/>
      <c r="G33" s="43" t="s">
        <v>90</v>
      </c>
      <c r="H33" s="43">
        <v>2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2</v>
      </c>
      <c r="O33" s="43">
        <v>1</v>
      </c>
      <c r="P33" s="43">
        <v>1</v>
      </c>
      <c r="Q33" s="56">
        <v>11</v>
      </c>
      <c r="S33" s="72" t="s">
        <v>91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1">
        <v>0</v>
      </c>
      <c r="AD33" s="41"/>
      <c r="AE33" s="2"/>
      <c r="AH33" s="2"/>
    </row>
    <row r="34" spans="1:35" ht="15" thickBot="1" x14ac:dyDescent="0.45">
      <c r="A34" s="73"/>
      <c r="B34" s="74"/>
      <c r="C34" s="74"/>
      <c r="D34" s="74"/>
      <c r="E34" s="74"/>
      <c r="F34" s="74"/>
      <c r="G34" s="75" t="s">
        <v>92</v>
      </c>
      <c r="H34" s="61">
        <v>-2</v>
      </c>
      <c r="I34" s="61">
        <v>-1</v>
      </c>
      <c r="J34" s="61">
        <v>-1</v>
      </c>
      <c r="K34" s="61">
        <v>-1</v>
      </c>
      <c r="L34" s="61">
        <v>-1</v>
      </c>
      <c r="M34" s="61">
        <v>-1</v>
      </c>
      <c r="N34" s="61">
        <v>-2</v>
      </c>
      <c r="O34" s="61">
        <v>-1</v>
      </c>
      <c r="P34" s="61">
        <v>-1</v>
      </c>
      <c r="Q34" s="76">
        <v>-11</v>
      </c>
      <c r="S34" s="28" t="s">
        <v>73</v>
      </c>
      <c r="T34" s="77">
        <v>4</v>
      </c>
      <c r="U34" s="77">
        <v>3</v>
      </c>
      <c r="V34" s="77">
        <v>4</v>
      </c>
      <c r="W34" s="77">
        <v>5</v>
      </c>
      <c r="X34" s="77">
        <v>4</v>
      </c>
      <c r="Y34" s="77">
        <v>3</v>
      </c>
      <c r="Z34" s="77">
        <v>4</v>
      </c>
      <c r="AA34" s="77">
        <v>5</v>
      </c>
      <c r="AB34" s="77">
        <v>4</v>
      </c>
      <c r="AC34" s="78">
        <v>36</v>
      </c>
      <c r="AD34" s="41">
        <v>7</v>
      </c>
      <c r="AE34" s="79">
        <v>0</v>
      </c>
      <c r="AF34" s="79">
        <v>1</v>
      </c>
      <c r="AG34" s="79">
        <v>0</v>
      </c>
      <c r="AH34" s="80">
        <v>6</v>
      </c>
      <c r="AI34" s="80">
        <v>7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45">
      <c r="A36" s="43" t="s">
        <v>81</v>
      </c>
      <c r="B36" s="43" t="s">
        <v>0</v>
      </c>
      <c r="C36" s="43" t="s">
        <v>6</v>
      </c>
      <c r="D36" s="43" t="s">
        <v>83</v>
      </c>
      <c r="E36" s="43" t="s">
        <v>84</v>
      </c>
      <c r="F36" s="43" t="s">
        <v>85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86</v>
      </c>
      <c r="S36" s="44" t="s">
        <v>87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4">
      <c r="A37" s="47">
        <v>3</v>
      </c>
      <c r="B37" s="48">
        <v>6</v>
      </c>
      <c r="C37" s="49">
        <v>11</v>
      </c>
      <c r="D37" s="48" t="s">
        <v>71</v>
      </c>
      <c r="E37" s="49"/>
      <c r="F37" s="49"/>
      <c r="G37" s="48" t="s">
        <v>88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v>0</v>
      </c>
      <c r="S37" s="51" t="s">
        <v>89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3">
        <v>0</v>
      </c>
      <c r="AD37" s="41"/>
      <c r="AE37" s="2"/>
      <c r="AH37" s="2"/>
    </row>
    <row r="38" spans="1:35" x14ac:dyDescent="0.4">
      <c r="A38" s="54"/>
      <c r="B38" s="55"/>
      <c r="C38" s="55"/>
      <c r="D38" s="55"/>
      <c r="E38" s="55"/>
      <c r="F38" s="55"/>
      <c r="G38" s="43" t="s">
        <v>90</v>
      </c>
      <c r="H38" s="43">
        <v>1</v>
      </c>
      <c r="I38" s="43">
        <v>1</v>
      </c>
      <c r="J38" s="43">
        <v>0</v>
      </c>
      <c r="K38" s="43">
        <v>0</v>
      </c>
      <c r="L38" s="43">
        <v>0</v>
      </c>
      <c r="M38" s="43">
        <v>0</v>
      </c>
      <c r="N38" s="43">
        <v>1</v>
      </c>
      <c r="O38" s="43">
        <v>0</v>
      </c>
      <c r="P38" s="43">
        <v>0</v>
      </c>
      <c r="Q38" s="56">
        <v>3</v>
      </c>
      <c r="S38" s="57" t="s">
        <v>91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5</v>
      </c>
      <c r="Z38" s="58">
        <v>0</v>
      </c>
      <c r="AA38" s="58">
        <v>0</v>
      </c>
      <c r="AB38" s="58">
        <v>0</v>
      </c>
      <c r="AC38" s="59">
        <v>5</v>
      </c>
      <c r="AD38" s="41"/>
      <c r="AE38" s="2"/>
      <c r="AH38" s="2"/>
    </row>
    <row r="39" spans="1:35" ht="15" thickBot="1" x14ac:dyDescent="0.45">
      <c r="A39" s="54"/>
      <c r="B39" s="55"/>
      <c r="C39" s="55"/>
      <c r="D39" s="55"/>
      <c r="E39" s="55"/>
      <c r="F39" s="55"/>
      <c r="G39" s="60" t="s">
        <v>92</v>
      </c>
      <c r="H39" s="61">
        <v>-1</v>
      </c>
      <c r="I39" s="61">
        <v>-1</v>
      </c>
      <c r="J39" s="61">
        <v>0</v>
      </c>
      <c r="K39" s="61">
        <v>0</v>
      </c>
      <c r="L39" s="61">
        <v>0</v>
      </c>
      <c r="M39" s="61">
        <v>0</v>
      </c>
      <c r="N39" s="61">
        <v>-1</v>
      </c>
      <c r="O39" s="61">
        <v>0</v>
      </c>
      <c r="P39" s="61">
        <v>0</v>
      </c>
      <c r="Q39" s="62">
        <v>-3</v>
      </c>
      <c r="S39" s="63" t="s">
        <v>73</v>
      </c>
      <c r="T39" s="43">
        <v>4</v>
      </c>
      <c r="U39" s="43">
        <v>3</v>
      </c>
      <c r="V39" s="43">
        <v>4</v>
      </c>
      <c r="W39" s="43">
        <v>5</v>
      </c>
      <c r="X39" s="43">
        <v>4</v>
      </c>
      <c r="Y39" s="43">
        <v>3</v>
      </c>
      <c r="Z39" s="43">
        <v>4</v>
      </c>
      <c r="AA39" s="43">
        <v>5</v>
      </c>
      <c r="AB39" s="43">
        <v>4</v>
      </c>
      <c r="AC39" s="56">
        <v>36</v>
      </c>
      <c r="AD39" s="41"/>
      <c r="AE39" s="2"/>
      <c r="AH39" s="2"/>
    </row>
    <row r="40" spans="1:35" x14ac:dyDescent="0.4">
      <c r="A40" s="64" t="s">
        <v>73</v>
      </c>
      <c r="B40" s="58">
        <v>6</v>
      </c>
      <c r="C40" s="65">
        <v>12</v>
      </c>
      <c r="D40" s="48" t="s">
        <v>26</v>
      </c>
      <c r="E40" s="65"/>
      <c r="F40" s="65"/>
      <c r="G40" s="58" t="s">
        <v>88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v>0</v>
      </c>
      <c r="S40" s="66" t="s">
        <v>89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62">
        <v>0</v>
      </c>
      <c r="AD40" s="41"/>
      <c r="AE40" s="2"/>
      <c r="AH40" s="2"/>
    </row>
    <row r="41" spans="1:35" ht="15" thickBot="1" x14ac:dyDescent="0.45">
      <c r="A41" s="54"/>
      <c r="B41" s="55"/>
      <c r="C41" s="55"/>
      <c r="D41" s="55"/>
      <c r="E41" s="55"/>
      <c r="F41" s="55"/>
      <c r="G41" s="43" t="s">
        <v>90</v>
      </c>
      <c r="H41" s="43">
        <v>2</v>
      </c>
      <c r="I41" s="43">
        <v>2</v>
      </c>
      <c r="J41" s="43">
        <v>1</v>
      </c>
      <c r="K41" s="43">
        <v>1</v>
      </c>
      <c r="L41" s="43">
        <v>2</v>
      </c>
      <c r="M41" s="43">
        <v>1</v>
      </c>
      <c r="N41" s="43">
        <v>2</v>
      </c>
      <c r="O41" s="43">
        <v>1</v>
      </c>
      <c r="P41" s="43">
        <v>2</v>
      </c>
      <c r="Q41" s="56">
        <v>14</v>
      </c>
      <c r="S41" s="57" t="s">
        <v>91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9">
        <v>0</v>
      </c>
      <c r="AD41" s="41"/>
      <c r="AE41" s="2"/>
      <c r="AH41" s="2"/>
    </row>
    <row r="42" spans="1:35" ht="15" thickBot="1" x14ac:dyDescent="0.45">
      <c r="A42" s="54"/>
      <c r="B42" s="55"/>
      <c r="C42" s="55"/>
      <c r="D42" s="55"/>
      <c r="E42" s="55"/>
      <c r="F42" s="55"/>
      <c r="G42" s="60" t="s">
        <v>92</v>
      </c>
      <c r="H42" s="61">
        <v>-2</v>
      </c>
      <c r="I42" s="61">
        <v>-2</v>
      </c>
      <c r="J42" s="61">
        <v>-1</v>
      </c>
      <c r="K42" s="61">
        <v>-1</v>
      </c>
      <c r="L42" s="61">
        <v>-2</v>
      </c>
      <c r="M42" s="61">
        <v>-1</v>
      </c>
      <c r="N42" s="61">
        <v>-2</v>
      </c>
      <c r="O42" s="61">
        <v>-1</v>
      </c>
      <c r="P42" s="61">
        <v>-2</v>
      </c>
      <c r="Q42" s="62">
        <v>-14</v>
      </c>
      <c r="S42" s="63" t="s">
        <v>73</v>
      </c>
      <c r="T42" s="43">
        <v>4</v>
      </c>
      <c r="U42" s="43">
        <v>3</v>
      </c>
      <c r="V42" s="43">
        <v>4</v>
      </c>
      <c r="W42" s="43">
        <v>5</v>
      </c>
      <c r="X42" s="43">
        <v>4</v>
      </c>
      <c r="Y42" s="43">
        <v>3</v>
      </c>
      <c r="Z42" s="43">
        <v>4</v>
      </c>
      <c r="AA42" s="43">
        <v>5</v>
      </c>
      <c r="AB42" s="43">
        <v>4</v>
      </c>
      <c r="AC42" s="56">
        <v>36</v>
      </c>
      <c r="AD42" s="41">
        <v>6</v>
      </c>
      <c r="AE42" s="81">
        <v>5</v>
      </c>
      <c r="AF42" s="67">
        <v>2</v>
      </c>
      <c r="AG42" s="67">
        <v>2</v>
      </c>
      <c r="AH42" s="68">
        <v>8</v>
      </c>
      <c r="AI42" s="68">
        <v>12</v>
      </c>
    </row>
    <row r="43" spans="1:35" x14ac:dyDescent="0.4">
      <c r="A43" s="64" t="s">
        <v>93</v>
      </c>
      <c r="B43" s="69">
        <v>16</v>
      </c>
      <c r="C43" s="70">
        <v>31</v>
      </c>
      <c r="D43" s="69" t="s">
        <v>17</v>
      </c>
      <c r="E43" s="70"/>
      <c r="F43" s="70"/>
      <c r="G43" s="69" t="s">
        <v>88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v>0</v>
      </c>
      <c r="S43" s="66" t="s">
        <v>89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62">
        <v>0</v>
      </c>
      <c r="AD43" s="41"/>
      <c r="AE43" s="2"/>
      <c r="AH43" s="2"/>
    </row>
    <row r="44" spans="1:35" x14ac:dyDescent="0.4">
      <c r="A44" s="54"/>
      <c r="B44" s="55"/>
      <c r="C44" s="55"/>
      <c r="D44" s="55"/>
      <c r="E44" s="55"/>
      <c r="F44" s="55"/>
      <c r="G44" s="43" t="s">
        <v>90</v>
      </c>
      <c r="H44" s="43">
        <v>1</v>
      </c>
      <c r="I44" s="43">
        <v>1</v>
      </c>
      <c r="J44" s="43">
        <v>1</v>
      </c>
      <c r="K44" s="43">
        <v>1</v>
      </c>
      <c r="L44" s="43">
        <v>1</v>
      </c>
      <c r="M44" s="43">
        <v>0</v>
      </c>
      <c r="N44" s="43">
        <v>1</v>
      </c>
      <c r="O44" s="43">
        <v>1</v>
      </c>
      <c r="P44" s="43">
        <v>1</v>
      </c>
      <c r="Q44" s="56">
        <v>8</v>
      </c>
      <c r="S44" s="72" t="s">
        <v>91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5</v>
      </c>
      <c r="Z44" s="72">
        <v>0</v>
      </c>
      <c r="AA44" s="72">
        <v>0</v>
      </c>
      <c r="AB44" s="72">
        <v>0</v>
      </c>
      <c r="AC44" s="71">
        <v>5</v>
      </c>
      <c r="AD44" s="41"/>
      <c r="AE44" s="2"/>
      <c r="AH44" s="2"/>
    </row>
    <row r="45" spans="1:35" x14ac:dyDescent="0.4">
      <c r="A45" s="54"/>
      <c r="B45" s="55"/>
      <c r="C45" s="55"/>
      <c r="D45" s="55"/>
      <c r="E45" s="55"/>
      <c r="F45" s="55"/>
      <c r="G45" s="60" t="s">
        <v>92</v>
      </c>
      <c r="H45" s="61">
        <v>-1</v>
      </c>
      <c r="I45" s="61">
        <v>-1</v>
      </c>
      <c r="J45" s="61">
        <v>-1</v>
      </c>
      <c r="K45" s="61">
        <v>-1</v>
      </c>
      <c r="L45" s="61">
        <v>-1</v>
      </c>
      <c r="M45" s="61">
        <v>0</v>
      </c>
      <c r="N45" s="61">
        <v>-1</v>
      </c>
      <c r="O45" s="61">
        <v>-1</v>
      </c>
      <c r="P45" s="61">
        <v>-1</v>
      </c>
      <c r="Q45" s="62">
        <v>-8</v>
      </c>
      <c r="S45" s="63" t="s">
        <v>73</v>
      </c>
      <c r="T45" s="43">
        <v>4</v>
      </c>
      <c r="U45" s="43">
        <v>3</v>
      </c>
      <c r="V45" s="43">
        <v>4</v>
      </c>
      <c r="W45" s="43">
        <v>5</v>
      </c>
      <c r="X45" s="43">
        <v>4</v>
      </c>
      <c r="Y45" s="43">
        <v>3</v>
      </c>
      <c r="Z45" s="43">
        <v>4</v>
      </c>
      <c r="AA45" s="43">
        <v>5</v>
      </c>
      <c r="AB45" s="43">
        <v>4</v>
      </c>
      <c r="AC45" s="56">
        <v>36</v>
      </c>
      <c r="AD45" s="41"/>
      <c r="AE45" s="2"/>
      <c r="AH45" s="2"/>
    </row>
    <row r="46" spans="1:35" x14ac:dyDescent="0.4">
      <c r="A46" s="64" t="s">
        <v>96</v>
      </c>
      <c r="B46" s="69">
        <v>16</v>
      </c>
      <c r="C46" s="70">
        <v>32</v>
      </c>
      <c r="D46" s="69" t="s">
        <v>18</v>
      </c>
      <c r="E46" s="70"/>
      <c r="F46" s="70"/>
      <c r="G46" s="69" t="s">
        <v>88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v>0</v>
      </c>
      <c r="S46" s="66" t="s">
        <v>89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62">
        <v>0</v>
      </c>
      <c r="AD46" s="41"/>
      <c r="AE46" s="2"/>
      <c r="AH46" s="2"/>
    </row>
    <row r="47" spans="1:35" ht="15" thickBot="1" x14ac:dyDescent="0.45">
      <c r="A47" s="54"/>
      <c r="B47" s="55"/>
      <c r="C47" s="55"/>
      <c r="D47" s="55"/>
      <c r="E47" s="55"/>
      <c r="F47" s="55"/>
      <c r="G47" s="43" t="s">
        <v>90</v>
      </c>
      <c r="H47" s="43">
        <v>4</v>
      </c>
      <c r="I47" s="43">
        <v>4</v>
      </c>
      <c r="J47" s="43">
        <v>3</v>
      </c>
      <c r="K47" s="43">
        <v>3</v>
      </c>
      <c r="L47" s="43">
        <v>3</v>
      </c>
      <c r="M47" s="43">
        <v>3</v>
      </c>
      <c r="N47" s="43">
        <v>4</v>
      </c>
      <c r="O47" s="43">
        <v>3</v>
      </c>
      <c r="P47" s="43">
        <v>3</v>
      </c>
      <c r="Q47" s="56">
        <v>31</v>
      </c>
      <c r="S47" s="72" t="s">
        <v>91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1">
        <v>0</v>
      </c>
      <c r="AD47" s="41"/>
      <c r="AE47" s="2"/>
      <c r="AH47" s="2"/>
    </row>
    <row r="48" spans="1:35" ht="15" thickBot="1" x14ac:dyDescent="0.45">
      <c r="A48" s="73"/>
      <c r="B48" s="74"/>
      <c r="C48" s="74"/>
      <c r="D48" s="74"/>
      <c r="E48" s="74"/>
      <c r="F48" s="74"/>
      <c r="G48" s="75" t="s">
        <v>92</v>
      </c>
      <c r="H48" s="61">
        <v>-4</v>
      </c>
      <c r="I48" s="61">
        <v>-4</v>
      </c>
      <c r="J48" s="61">
        <v>-3</v>
      </c>
      <c r="K48" s="61">
        <v>-3</v>
      </c>
      <c r="L48" s="61">
        <v>-3</v>
      </c>
      <c r="M48" s="61">
        <v>-3</v>
      </c>
      <c r="N48" s="61">
        <v>-4</v>
      </c>
      <c r="O48" s="61">
        <v>-3</v>
      </c>
      <c r="P48" s="61">
        <v>-3</v>
      </c>
      <c r="Q48" s="76">
        <v>-30</v>
      </c>
      <c r="S48" s="28" t="s">
        <v>73</v>
      </c>
      <c r="T48" s="77">
        <v>4</v>
      </c>
      <c r="U48" s="77">
        <v>3</v>
      </c>
      <c r="V48" s="77">
        <v>4</v>
      </c>
      <c r="W48" s="77">
        <v>5</v>
      </c>
      <c r="X48" s="77">
        <v>4</v>
      </c>
      <c r="Y48" s="77">
        <v>3</v>
      </c>
      <c r="Z48" s="77">
        <v>4</v>
      </c>
      <c r="AA48" s="77">
        <v>5</v>
      </c>
      <c r="AB48" s="77">
        <v>4</v>
      </c>
      <c r="AC48" s="78">
        <v>36</v>
      </c>
      <c r="AD48" s="41">
        <v>16</v>
      </c>
      <c r="AE48" s="79">
        <v>5</v>
      </c>
      <c r="AF48" s="79">
        <v>2</v>
      </c>
      <c r="AG48" s="79">
        <v>2</v>
      </c>
      <c r="AH48" s="80">
        <v>8</v>
      </c>
      <c r="AI48" s="80">
        <v>12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45">
      <c r="A50" s="43" t="s">
        <v>81</v>
      </c>
      <c r="B50" s="43" t="s">
        <v>0</v>
      </c>
      <c r="C50" s="43" t="s">
        <v>6</v>
      </c>
      <c r="D50" s="43" t="s">
        <v>83</v>
      </c>
      <c r="E50" s="43" t="s">
        <v>84</v>
      </c>
      <c r="F50" s="43" t="s">
        <v>85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86</v>
      </c>
      <c r="S50" s="44" t="s">
        <v>87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4">
      <c r="A51" s="47">
        <v>4</v>
      </c>
      <c r="B51" s="48">
        <v>9</v>
      </c>
      <c r="C51" s="49">
        <v>17</v>
      </c>
      <c r="D51" s="48" t="s">
        <v>33</v>
      </c>
      <c r="E51" s="49"/>
      <c r="F51" s="49"/>
      <c r="G51" s="48" t="s">
        <v>88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v>0</v>
      </c>
      <c r="S51" s="51" t="s">
        <v>89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3">
        <v>0</v>
      </c>
      <c r="AD51" s="41"/>
      <c r="AE51" s="2"/>
      <c r="AH51" s="2"/>
    </row>
    <row r="52" spans="1:35" x14ac:dyDescent="0.4">
      <c r="A52" s="54"/>
      <c r="B52" s="55"/>
      <c r="C52" s="55"/>
      <c r="D52" s="55"/>
      <c r="E52" s="55"/>
      <c r="F52" s="55"/>
      <c r="G52" s="43" t="s">
        <v>90</v>
      </c>
      <c r="H52" s="43">
        <v>1</v>
      </c>
      <c r="I52" s="43">
        <v>1</v>
      </c>
      <c r="J52" s="43">
        <v>1</v>
      </c>
      <c r="K52" s="43">
        <v>1</v>
      </c>
      <c r="L52" s="43">
        <v>1</v>
      </c>
      <c r="M52" s="43">
        <v>0</v>
      </c>
      <c r="N52" s="43">
        <v>1</v>
      </c>
      <c r="O52" s="43">
        <v>1</v>
      </c>
      <c r="P52" s="43">
        <v>1</v>
      </c>
      <c r="Q52" s="56">
        <v>8</v>
      </c>
      <c r="S52" s="57" t="s">
        <v>91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5</v>
      </c>
      <c r="Z52" s="58">
        <v>0</v>
      </c>
      <c r="AA52" s="58">
        <v>0</v>
      </c>
      <c r="AB52" s="58">
        <v>0</v>
      </c>
      <c r="AC52" s="59">
        <v>5</v>
      </c>
      <c r="AD52" s="41"/>
      <c r="AE52" s="2"/>
      <c r="AH52" s="2"/>
    </row>
    <row r="53" spans="1:35" ht="15" thickBot="1" x14ac:dyDescent="0.45">
      <c r="A53" s="54"/>
      <c r="B53" s="55"/>
      <c r="C53" s="55"/>
      <c r="D53" s="55"/>
      <c r="E53" s="55"/>
      <c r="F53" s="55"/>
      <c r="G53" s="60" t="s">
        <v>92</v>
      </c>
      <c r="H53" s="61">
        <v>-1</v>
      </c>
      <c r="I53" s="61">
        <v>-1</v>
      </c>
      <c r="J53" s="61">
        <v>-1</v>
      </c>
      <c r="K53" s="61">
        <v>-1</v>
      </c>
      <c r="L53" s="61">
        <v>-1</v>
      </c>
      <c r="M53" s="61">
        <v>0</v>
      </c>
      <c r="N53" s="61">
        <v>-1</v>
      </c>
      <c r="O53" s="61">
        <v>-1</v>
      </c>
      <c r="P53" s="61">
        <v>-1</v>
      </c>
      <c r="Q53" s="62">
        <v>-8</v>
      </c>
      <c r="S53" s="63" t="s">
        <v>73</v>
      </c>
      <c r="T53" s="43">
        <v>4</v>
      </c>
      <c r="U53" s="43">
        <v>3</v>
      </c>
      <c r="V53" s="43">
        <v>4</v>
      </c>
      <c r="W53" s="43">
        <v>5</v>
      </c>
      <c r="X53" s="43">
        <v>4</v>
      </c>
      <c r="Y53" s="43">
        <v>3</v>
      </c>
      <c r="Z53" s="43">
        <v>4</v>
      </c>
      <c r="AA53" s="43">
        <v>5</v>
      </c>
      <c r="AB53" s="43">
        <v>4</v>
      </c>
      <c r="AC53" s="56">
        <v>36</v>
      </c>
      <c r="AD53" s="41"/>
      <c r="AE53" s="2"/>
      <c r="AH53" s="2"/>
    </row>
    <row r="54" spans="1:35" x14ac:dyDescent="0.4">
      <c r="A54" s="64" t="s">
        <v>73</v>
      </c>
      <c r="B54" s="58">
        <v>9</v>
      </c>
      <c r="C54" s="65">
        <v>18</v>
      </c>
      <c r="D54" s="48" t="s">
        <v>34</v>
      </c>
      <c r="E54" s="65"/>
      <c r="F54" s="65"/>
      <c r="G54" s="58" t="s">
        <v>88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v>0</v>
      </c>
      <c r="S54" s="66" t="s">
        <v>89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62">
        <v>0</v>
      </c>
      <c r="AD54" s="41"/>
      <c r="AE54" s="2"/>
      <c r="AH54" s="2"/>
    </row>
    <row r="55" spans="1:35" ht="15" thickBot="1" x14ac:dyDescent="0.45">
      <c r="A55" s="54"/>
      <c r="B55" s="55"/>
      <c r="C55" s="55"/>
      <c r="D55" s="55"/>
      <c r="E55" s="55"/>
      <c r="F55" s="55"/>
      <c r="G55" s="43" t="s">
        <v>90</v>
      </c>
      <c r="H55" s="43">
        <v>1</v>
      </c>
      <c r="I55" s="43">
        <v>1</v>
      </c>
      <c r="J55" s="43">
        <v>1</v>
      </c>
      <c r="K55" s="43">
        <v>1</v>
      </c>
      <c r="L55" s="43">
        <v>1</v>
      </c>
      <c r="M55" s="43">
        <v>1</v>
      </c>
      <c r="N55" s="43">
        <v>1</v>
      </c>
      <c r="O55" s="43">
        <v>1</v>
      </c>
      <c r="P55" s="43">
        <v>1</v>
      </c>
      <c r="Q55" s="56">
        <v>9</v>
      </c>
      <c r="S55" s="57" t="s">
        <v>91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  <c r="AC55" s="59">
        <v>0</v>
      </c>
      <c r="AD55" s="41"/>
      <c r="AE55" s="2"/>
      <c r="AH55" s="2"/>
    </row>
    <row r="56" spans="1:35" ht="15" thickBot="1" x14ac:dyDescent="0.45">
      <c r="A56" s="54"/>
      <c r="B56" s="55"/>
      <c r="C56" s="55"/>
      <c r="D56" s="55"/>
      <c r="E56" s="55"/>
      <c r="F56" s="55"/>
      <c r="G56" s="60" t="s">
        <v>92</v>
      </c>
      <c r="H56" s="61">
        <v>-1</v>
      </c>
      <c r="I56" s="61">
        <v>-1</v>
      </c>
      <c r="J56" s="61">
        <v>-1</v>
      </c>
      <c r="K56" s="61">
        <v>-1</v>
      </c>
      <c r="L56" s="61">
        <v>-1</v>
      </c>
      <c r="M56" s="61">
        <v>-1</v>
      </c>
      <c r="N56" s="61">
        <v>-1</v>
      </c>
      <c r="O56" s="61">
        <v>-1</v>
      </c>
      <c r="P56" s="61">
        <v>-1</v>
      </c>
      <c r="Q56" s="62">
        <v>-9</v>
      </c>
      <c r="S56" s="63" t="s">
        <v>73</v>
      </c>
      <c r="T56" s="43">
        <v>4</v>
      </c>
      <c r="U56" s="43">
        <v>3</v>
      </c>
      <c r="V56" s="43">
        <v>4</v>
      </c>
      <c r="W56" s="43">
        <v>5</v>
      </c>
      <c r="X56" s="43">
        <v>4</v>
      </c>
      <c r="Y56" s="43">
        <v>3</v>
      </c>
      <c r="Z56" s="43">
        <v>4</v>
      </c>
      <c r="AA56" s="43">
        <v>5</v>
      </c>
      <c r="AB56" s="43">
        <v>4</v>
      </c>
      <c r="AC56" s="56">
        <v>36</v>
      </c>
      <c r="AD56" s="41">
        <v>9</v>
      </c>
      <c r="AE56" s="81">
        <v>5</v>
      </c>
      <c r="AF56" s="67">
        <v>1</v>
      </c>
      <c r="AG56" s="67">
        <v>0</v>
      </c>
      <c r="AH56" s="68">
        <v>8</v>
      </c>
      <c r="AI56" s="68">
        <v>9</v>
      </c>
    </row>
    <row r="57" spans="1:35" x14ac:dyDescent="0.4">
      <c r="A57" s="64" t="s">
        <v>93</v>
      </c>
      <c r="B57" s="69">
        <v>5</v>
      </c>
      <c r="C57" s="70">
        <v>9</v>
      </c>
      <c r="D57" s="69" t="s">
        <v>43</v>
      </c>
      <c r="E57" s="70"/>
      <c r="F57" s="70"/>
      <c r="G57" s="69" t="s">
        <v>88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v>0</v>
      </c>
      <c r="S57" s="66" t="s">
        <v>89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62">
        <v>0</v>
      </c>
      <c r="AD57" s="41"/>
      <c r="AE57" s="2"/>
      <c r="AH57" s="2"/>
    </row>
    <row r="58" spans="1:35" x14ac:dyDescent="0.4">
      <c r="A58" s="54"/>
      <c r="B58" s="55"/>
      <c r="C58" s="55"/>
      <c r="D58" s="55"/>
      <c r="E58" s="55"/>
      <c r="F58" s="55"/>
      <c r="G58" s="43" t="s">
        <v>90</v>
      </c>
      <c r="H58" s="43">
        <v>1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1</v>
      </c>
      <c r="O58" s="43">
        <v>0</v>
      </c>
      <c r="P58" s="43">
        <v>0</v>
      </c>
      <c r="Q58" s="56">
        <v>2</v>
      </c>
      <c r="S58" s="72" t="s">
        <v>91</v>
      </c>
      <c r="T58" s="72">
        <v>0</v>
      </c>
      <c r="U58" s="72">
        <v>5</v>
      </c>
      <c r="V58" s="72">
        <v>0</v>
      </c>
      <c r="W58" s="72">
        <v>0</v>
      </c>
      <c r="X58" s="72">
        <v>0</v>
      </c>
      <c r="Y58" s="72">
        <v>5</v>
      </c>
      <c r="Z58" s="72">
        <v>0</v>
      </c>
      <c r="AA58" s="72">
        <v>0</v>
      </c>
      <c r="AB58" s="72">
        <v>0</v>
      </c>
      <c r="AC58" s="71">
        <v>10</v>
      </c>
      <c r="AD58" s="41"/>
      <c r="AE58" s="2"/>
      <c r="AH58" s="2"/>
    </row>
    <row r="59" spans="1:35" x14ac:dyDescent="0.4">
      <c r="A59" s="54"/>
      <c r="B59" s="55"/>
      <c r="C59" s="55"/>
      <c r="D59" s="55"/>
      <c r="E59" s="55"/>
      <c r="F59" s="55"/>
      <c r="G59" s="60" t="s">
        <v>92</v>
      </c>
      <c r="H59" s="61">
        <v>-1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-1</v>
      </c>
      <c r="O59" s="61">
        <v>0</v>
      </c>
      <c r="P59" s="61">
        <v>0</v>
      </c>
      <c r="Q59" s="62">
        <v>-2</v>
      </c>
      <c r="S59" s="63" t="s">
        <v>73</v>
      </c>
      <c r="T59" s="43">
        <v>4</v>
      </c>
      <c r="U59" s="43">
        <v>3</v>
      </c>
      <c r="V59" s="43">
        <v>4</v>
      </c>
      <c r="W59" s="43">
        <v>5</v>
      </c>
      <c r="X59" s="43">
        <v>4</v>
      </c>
      <c r="Y59" s="43">
        <v>3</v>
      </c>
      <c r="Z59" s="43">
        <v>4</v>
      </c>
      <c r="AA59" s="43">
        <v>5</v>
      </c>
      <c r="AB59" s="43">
        <v>4</v>
      </c>
      <c r="AC59" s="56">
        <v>36</v>
      </c>
      <c r="AD59" s="41"/>
      <c r="AE59" s="2"/>
      <c r="AH59" s="2"/>
    </row>
    <row r="60" spans="1:35" x14ac:dyDescent="0.4">
      <c r="A60" s="64" t="s">
        <v>97</v>
      </c>
      <c r="B60" s="69">
        <v>5</v>
      </c>
      <c r="C60" s="70">
        <v>10</v>
      </c>
      <c r="D60" s="69" t="s">
        <v>44</v>
      </c>
      <c r="E60" s="70"/>
      <c r="F60" s="70"/>
      <c r="G60" s="69" t="s">
        <v>88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v>0</v>
      </c>
      <c r="S60" s="66" t="s">
        <v>89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62">
        <v>0</v>
      </c>
      <c r="AD60" s="41"/>
      <c r="AE60" s="2"/>
      <c r="AH60" s="2"/>
    </row>
    <row r="61" spans="1:35" ht="15" thickBot="1" x14ac:dyDescent="0.45">
      <c r="A61" s="54"/>
      <c r="B61" s="55"/>
      <c r="C61" s="55"/>
      <c r="D61" s="55"/>
      <c r="E61" s="55"/>
      <c r="F61" s="55"/>
      <c r="G61" s="43" t="s">
        <v>90</v>
      </c>
      <c r="H61" s="43">
        <v>2</v>
      </c>
      <c r="I61" s="43">
        <v>2</v>
      </c>
      <c r="J61" s="43">
        <v>1</v>
      </c>
      <c r="K61" s="43">
        <v>1</v>
      </c>
      <c r="L61" s="43">
        <v>1</v>
      </c>
      <c r="M61" s="43">
        <v>1</v>
      </c>
      <c r="N61" s="43">
        <v>2</v>
      </c>
      <c r="O61" s="43">
        <v>1</v>
      </c>
      <c r="P61" s="43">
        <v>1</v>
      </c>
      <c r="Q61" s="56">
        <v>12</v>
      </c>
      <c r="S61" s="72" t="s">
        <v>91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1">
        <v>0</v>
      </c>
      <c r="AD61" s="41"/>
      <c r="AE61" s="2"/>
      <c r="AH61" s="2"/>
    </row>
    <row r="62" spans="1:35" ht="15" thickBot="1" x14ac:dyDescent="0.45">
      <c r="A62" s="73"/>
      <c r="B62" s="74"/>
      <c r="C62" s="74"/>
      <c r="D62" s="74"/>
      <c r="E62" s="74"/>
      <c r="F62" s="74"/>
      <c r="G62" s="75" t="s">
        <v>92</v>
      </c>
      <c r="H62" s="61">
        <v>-2</v>
      </c>
      <c r="I62" s="61">
        <v>-2</v>
      </c>
      <c r="J62" s="61">
        <v>-1</v>
      </c>
      <c r="K62" s="61">
        <v>-1</v>
      </c>
      <c r="L62" s="61">
        <v>-1</v>
      </c>
      <c r="M62" s="61">
        <v>-1</v>
      </c>
      <c r="N62" s="61">
        <v>-2</v>
      </c>
      <c r="O62" s="61">
        <v>-1</v>
      </c>
      <c r="P62" s="61">
        <v>-1</v>
      </c>
      <c r="Q62" s="76">
        <v>-12</v>
      </c>
      <c r="S62" s="28" t="s">
        <v>73</v>
      </c>
      <c r="T62" s="77">
        <v>4</v>
      </c>
      <c r="U62" s="77">
        <v>3</v>
      </c>
      <c r="V62" s="77">
        <v>4</v>
      </c>
      <c r="W62" s="77">
        <v>5</v>
      </c>
      <c r="X62" s="77">
        <v>4</v>
      </c>
      <c r="Y62" s="77">
        <v>3</v>
      </c>
      <c r="Z62" s="77">
        <v>4</v>
      </c>
      <c r="AA62" s="77">
        <v>5</v>
      </c>
      <c r="AB62" s="77">
        <v>4</v>
      </c>
      <c r="AC62" s="78">
        <v>36</v>
      </c>
      <c r="AD62" s="41">
        <v>5</v>
      </c>
      <c r="AE62" s="79">
        <v>10</v>
      </c>
      <c r="AF62" s="79">
        <v>3</v>
      </c>
      <c r="AG62" s="79">
        <v>4</v>
      </c>
      <c r="AH62" s="80">
        <v>8</v>
      </c>
      <c r="AI62" s="80">
        <v>15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45">
      <c r="A64" s="43" t="s">
        <v>81</v>
      </c>
      <c r="B64" s="43" t="s">
        <v>0</v>
      </c>
      <c r="C64" s="43" t="s">
        <v>6</v>
      </c>
      <c r="D64" s="43" t="s">
        <v>83</v>
      </c>
      <c r="E64" s="43" t="s">
        <v>84</v>
      </c>
      <c r="F64" s="43" t="s">
        <v>85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86</v>
      </c>
      <c r="S64" s="44" t="s">
        <v>87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4">
      <c r="A65" s="47">
        <v>5</v>
      </c>
      <c r="B65" s="48">
        <v>4</v>
      </c>
      <c r="C65" s="49">
        <v>7</v>
      </c>
      <c r="D65" s="48" t="s">
        <v>39</v>
      </c>
      <c r="E65" s="49"/>
      <c r="F65" s="49"/>
      <c r="G65" s="48" t="s">
        <v>88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v>0</v>
      </c>
      <c r="S65" s="51" t="s">
        <v>89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3">
        <v>0</v>
      </c>
      <c r="AD65" s="41"/>
      <c r="AE65" s="2"/>
      <c r="AH65" s="2"/>
    </row>
    <row r="66" spans="1:35" x14ac:dyDescent="0.4">
      <c r="A66" s="54"/>
      <c r="B66" s="55"/>
      <c r="C66" s="55"/>
      <c r="D66" s="55"/>
      <c r="E66" s="55"/>
      <c r="F66" s="55"/>
      <c r="G66" s="43" t="s">
        <v>90</v>
      </c>
      <c r="H66" s="43">
        <v>2</v>
      </c>
      <c r="I66" s="43">
        <v>1</v>
      </c>
      <c r="J66" s="43">
        <v>1</v>
      </c>
      <c r="K66" s="43">
        <v>1</v>
      </c>
      <c r="L66" s="43">
        <v>1</v>
      </c>
      <c r="M66" s="43">
        <v>1</v>
      </c>
      <c r="N66" s="43">
        <v>2</v>
      </c>
      <c r="O66" s="43">
        <v>1</v>
      </c>
      <c r="P66" s="43">
        <v>1</v>
      </c>
      <c r="Q66" s="56">
        <v>11</v>
      </c>
      <c r="S66" s="57" t="s">
        <v>91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  <c r="AC66" s="59">
        <v>0</v>
      </c>
      <c r="AD66" s="41"/>
      <c r="AE66" s="2"/>
      <c r="AH66" s="2"/>
    </row>
    <row r="67" spans="1:35" ht="15" thickBot="1" x14ac:dyDescent="0.45">
      <c r="A67" s="54"/>
      <c r="B67" s="55"/>
      <c r="C67" s="55"/>
      <c r="D67" s="55"/>
      <c r="E67" s="55"/>
      <c r="F67" s="55"/>
      <c r="G67" s="60" t="s">
        <v>92</v>
      </c>
      <c r="H67" s="61">
        <v>-2</v>
      </c>
      <c r="I67" s="61">
        <v>-1</v>
      </c>
      <c r="J67" s="61">
        <v>-1</v>
      </c>
      <c r="K67" s="61">
        <v>-1</v>
      </c>
      <c r="L67" s="61">
        <v>-1</v>
      </c>
      <c r="M67" s="61">
        <v>-1</v>
      </c>
      <c r="N67" s="61">
        <v>-2</v>
      </c>
      <c r="O67" s="61">
        <v>-1</v>
      </c>
      <c r="P67" s="61">
        <v>-1</v>
      </c>
      <c r="Q67" s="62">
        <v>-11</v>
      </c>
      <c r="S67" s="63" t="s">
        <v>73</v>
      </c>
      <c r="T67" s="43">
        <v>4</v>
      </c>
      <c r="U67" s="43">
        <v>3</v>
      </c>
      <c r="V67" s="43">
        <v>4</v>
      </c>
      <c r="W67" s="43">
        <v>5</v>
      </c>
      <c r="X67" s="43">
        <v>4</v>
      </c>
      <c r="Y67" s="43">
        <v>3</v>
      </c>
      <c r="Z67" s="43">
        <v>4</v>
      </c>
      <c r="AA67" s="43">
        <v>5</v>
      </c>
      <c r="AB67" s="43">
        <v>4</v>
      </c>
      <c r="AC67" s="56">
        <v>36</v>
      </c>
      <c r="AD67" s="41"/>
      <c r="AE67" s="2"/>
      <c r="AH67" s="2"/>
    </row>
    <row r="68" spans="1:35" x14ac:dyDescent="0.4">
      <c r="A68" s="64" t="s">
        <v>73</v>
      </c>
      <c r="B68" s="58">
        <v>4</v>
      </c>
      <c r="C68" s="65">
        <v>8</v>
      </c>
      <c r="D68" s="48" t="s">
        <v>40</v>
      </c>
      <c r="E68" s="65"/>
      <c r="F68" s="65"/>
      <c r="G68" s="58" t="s">
        <v>88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v>0</v>
      </c>
      <c r="S68" s="66" t="s">
        <v>89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  <c r="AA68" s="52">
        <v>0</v>
      </c>
      <c r="AB68" s="52">
        <v>0</v>
      </c>
      <c r="AC68" s="62">
        <v>0</v>
      </c>
      <c r="AD68" s="41"/>
      <c r="AE68" s="2"/>
      <c r="AH68" s="2"/>
    </row>
    <row r="69" spans="1:35" ht="15" thickBot="1" x14ac:dyDescent="0.45">
      <c r="A69" s="54"/>
      <c r="B69" s="55"/>
      <c r="C69" s="55"/>
      <c r="D69" s="55"/>
      <c r="E69" s="55"/>
      <c r="F69" s="55"/>
      <c r="G69" s="43" t="s">
        <v>90</v>
      </c>
      <c r="H69" s="43">
        <v>2</v>
      </c>
      <c r="I69" s="43">
        <v>2</v>
      </c>
      <c r="J69" s="43">
        <v>1</v>
      </c>
      <c r="K69" s="43">
        <v>1</v>
      </c>
      <c r="L69" s="43">
        <v>1</v>
      </c>
      <c r="M69" s="43">
        <v>1</v>
      </c>
      <c r="N69" s="43">
        <v>2</v>
      </c>
      <c r="O69" s="43">
        <v>1</v>
      </c>
      <c r="P69" s="43">
        <v>1</v>
      </c>
      <c r="Q69" s="56">
        <v>12</v>
      </c>
      <c r="S69" s="57" t="s">
        <v>91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9">
        <v>0</v>
      </c>
      <c r="AD69" s="41"/>
      <c r="AE69" s="2"/>
      <c r="AH69" s="2"/>
    </row>
    <row r="70" spans="1:35" ht="15" thickBot="1" x14ac:dyDescent="0.45">
      <c r="A70" s="54"/>
      <c r="B70" s="55"/>
      <c r="C70" s="55"/>
      <c r="D70" s="55"/>
      <c r="E70" s="55"/>
      <c r="F70" s="55"/>
      <c r="G70" s="60" t="s">
        <v>92</v>
      </c>
      <c r="H70" s="61">
        <v>-2</v>
      </c>
      <c r="I70" s="61">
        <v>-2</v>
      </c>
      <c r="J70" s="61">
        <v>-1</v>
      </c>
      <c r="K70" s="61">
        <v>-1</v>
      </c>
      <c r="L70" s="61">
        <v>-1</v>
      </c>
      <c r="M70" s="61">
        <v>-1</v>
      </c>
      <c r="N70" s="61">
        <v>-2</v>
      </c>
      <c r="O70" s="61">
        <v>-1</v>
      </c>
      <c r="P70" s="61">
        <v>-1</v>
      </c>
      <c r="Q70" s="62">
        <v>-12</v>
      </c>
      <c r="S70" s="63" t="s">
        <v>73</v>
      </c>
      <c r="T70" s="43">
        <v>4</v>
      </c>
      <c r="U70" s="43">
        <v>3</v>
      </c>
      <c r="V70" s="43">
        <v>4</v>
      </c>
      <c r="W70" s="43">
        <v>5</v>
      </c>
      <c r="X70" s="43">
        <v>4</v>
      </c>
      <c r="Y70" s="43">
        <v>3</v>
      </c>
      <c r="Z70" s="43">
        <v>4</v>
      </c>
      <c r="AA70" s="43">
        <v>5</v>
      </c>
      <c r="AB70" s="43">
        <v>4</v>
      </c>
      <c r="AC70" s="56">
        <v>36</v>
      </c>
      <c r="AD70" s="41">
        <v>4</v>
      </c>
      <c r="AE70" s="81">
        <v>0</v>
      </c>
      <c r="AF70" s="67">
        <v>1</v>
      </c>
      <c r="AG70" s="67">
        <v>0</v>
      </c>
      <c r="AH70" s="68">
        <v>6</v>
      </c>
      <c r="AI70" s="68">
        <v>7</v>
      </c>
    </row>
    <row r="71" spans="1:35" x14ac:dyDescent="0.4">
      <c r="A71" s="64" t="s">
        <v>93</v>
      </c>
      <c r="B71" s="69">
        <v>14</v>
      </c>
      <c r="C71" s="70">
        <v>28</v>
      </c>
      <c r="D71" s="69" t="s">
        <v>24</v>
      </c>
      <c r="E71" s="70"/>
      <c r="F71" s="70"/>
      <c r="G71" s="69" t="s">
        <v>88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v>0</v>
      </c>
      <c r="S71" s="66" t="s">
        <v>89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62">
        <v>0</v>
      </c>
      <c r="AD71" s="41"/>
      <c r="AE71" s="2"/>
      <c r="AH71" s="2"/>
    </row>
    <row r="72" spans="1:35" x14ac:dyDescent="0.4">
      <c r="A72" s="54"/>
      <c r="B72" s="55"/>
      <c r="C72" s="55"/>
      <c r="D72" s="55"/>
      <c r="E72" s="55"/>
      <c r="F72" s="55"/>
      <c r="G72" s="43" t="s">
        <v>90</v>
      </c>
      <c r="H72" s="43">
        <v>1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56">
        <v>1</v>
      </c>
      <c r="S72" s="72" t="s">
        <v>91</v>
      </c>
      <c r="T72" s="72">
        <v>0</v>
      </c>
      <c r="U72" s="72">
        <v>5</v>
      </c>
      <c r="V72" s="72">
        <v>0</v>
      </c>
      <c r="W72" s="72">
        <v>0</v>
      </c>
      <c r="X72" s="72">
        <v>0</v>
      </c>
      <c r="Y72" s="72">
        <v>5</v>
      </c>
      <c r="Z72" s="72">
        <v>0</v>
      </c>
      <c r="AA72" s="72">
        <v>0</v>
      </c>
      <c r="AB72" s="72">
        <v>0</v>
      </c>
      <c r="AC72" s="71">
        <v>10</v>
      </c>
      <c r="AD72" s="41"/>
      <c r="AE72" s="2"/>
      <c r="AH72" s="2"/>
    </row>
    <row r="73" spans="1:35" x14ac:dyDescent="0.4">
      <c r="A73" s="54"/>
      <c r="B73" s="55"/>
      <c r="C73" s="55"/>
      <c r="D73" s="55"/>
      <c r="E73" s="55"/>
      <c r="F73" s="55"/>
      <c r="G73" s="60" t="s">
        <v>92</v>
      </c>
      <c r="H73" s="61">
        <v>-1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2">
        <v>-1</v>
      </c>
      <c r="S73" s="63" t="s">
        <v>73</v>
      </c>
      <c r="T73" s="43">
        <v>4</v>
      </c>
      <c r="U73" s="43">
        <v>3</v>
      </c>
      <c r="V73" s="43">
        <v>4</v>
      </c>
      <c r="W73" s="43">
        <v>5</v>
      </c>
      <c r="X73" s="43">
        <v>4</v>
      </c>
      <c r="Y73" s="43">
        <v>3</v>
      </c>
      <c r="Z73" s="43">
        <v>4</v>
      </c>
      <c r="AA73" s="43">
        <v>5</v>
      </c>
      <c r="AB73" s="43">
        <v>4</v>
      </c>
      <c r="AC73" s="56">
        <v>36</v>
      </c>
      <c r="AD73" s="41"/>
      <c r="AE73" s="2"/>
      <c r="AH73" s="2"/>
    </row>
    <row r="74" spans="1:35" x14ac:dyDescent="0.4">
      <c r="A74" s="64" t="s">
        <v>98</v>
      </c>
      <c r="B74" s="69">
        <v>14</v>
      </c>
      <c r="C74" s="70">
        <v>27</v>
      </c>
      <c r="D74" s="69" t="s">
        <v>23</v>
      </c>
      <c r="E74" s="70"/>
      <c r="F74" s="70"/>
      <c r="G74" s="69" t="s">
        <v>88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v>0</v>
      </c>
      <c r="S74" s="66" t="s">
        <v>89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62">
        <v>0</v>
      </c>
      <c r="AD74" s="41"/>
      <c r="AE74" s="2"/>
      <c r="AH74" s="2"/>
    </row>
    <row r="75" spans="1:35" ht="15" thickBot="1" x14ac:dyDescent="0.45">
      <c r="A75" s="54"/>
      <c r="B75" s="55"/>
      <c r="C75" s="55"/>
      <c r="D75" s="55"/>
      <c r="E75" s="55"/>
      <c r="F75" s="55"/>
      <c r="G75" s="43" t="s">
        <v>90</v>
      </c>
      <c r="H75" s="43">
        <v>2</v>
      </c>
      <c r="I75" s="43">
        <v>1</v>
      </c>
      <c r="J75" s="43">
        <v>1</v>
      </c>
      <c r="K75" s="43">
        <v>1</v>
      </c>
      <c r="L75" s="43">
        <v>1</v>
      </c>
      <c r="M75" s="43">
        <v>1</v>
      </c>
      <c r="N75" s="43">
        <v>2</v>
      </c>
      <c r="O75" s="43">
        <v>1</v>
      </c>
      <c r="P75" s="43">
        <v>1</v>
      </c>
      <c r="Q75" s="56">
        <v>11</v>
      </c>
      <c r="S75" s="72" t="s">
        <v>91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1">
        <v>0</v>
      </c>
      <c r="AD75" s="41"/>
      <c r="AE75" s="2"/>
      <c r="AH75" s="2"/>
    </row>
    <row r="76" spans="1:35" ht="15" thickBot="1" x14ac:dyDescent="0.45">
      <c r="A76" s="73"/>
      <c r="B76" s="74"/>
      <c r="C76" s="74"/>
      <c r="D76" s="74"/>
      <c r="E76" s="74"/>
      <c r="F76" s="74"/>
      <c r="G76" s="75" t="s">
        <v>92</v>
      </c>
      <c r="H76" s="61">
        <v>-2</v>
      </c>
      <c r="I76" s="61">
        <v>-1</v>
      </c>
      <c r="J76" s="61">
        <v>-1</v>
      </c>
      <c r="K76" s="61">
        <v>-1</v>
      </c>
      <c r="L76" s="61">
        <v>-1</v>
      </c>
      <c r="M76" s="61">
        <v>-1</v>
      </c>
      <c r="N76" s="61">
        <v>-2</v>
      </c>
      <c r="O76" s="61">
        <v>-1</v>
      </c>
      <c r="P76" s="61">
        <v>-1</v>
      </c>
      <c r="Q76" s="76">
        <v>-11</v>
      </c>
      <c r="S76" s="28" t="s">
        <v>73</v>
      </c>
      <c r="T76" s="77">
        <v>4</v>
      </c>
      <c r="U76" s="77">
        <v>3</v>
      </c>
      <c r="V76" s="77">
        <v>4</v>
      </c>
      <c r="W76" s="77">
        <v>5</v>
      </c>
      <c r="X76" s="77">
        <v>4</v>
      </c>
      <c r="Y76" s="77">
        <v>3</v>
      </c>
      <c r="Z76" s="77">
        <v>4</v>
      </c>
      <c r="AA76" s="77">
        <v>5</v>
      </c>
      <c r="AB76" s="77">
        <v>4</v>
      </c>
      <c r="AC76" s="78">
        <v>36</v>
      </c>
      <c r="AD76" s="41">
        <v>14</v>
      </c>
      <c r="AE76" s="79">
        <v>10</v>
      </c>
      <c r="AF76" s="79">
        <v>3</v>
      </c>
      <c r="AG76" s="79">
        <v>4</v>
      </c>
      <c r="AH76" s="80">
        <v>8</v>
      </c>
      <c r="AI76" s="80">
        <v>15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45">
      <c r="A78" s="43" t="s">
        <v>81</v>
      </c>
      <c r="B78" s="43" t="s">
        <v>0</v>
      </c>
      <c r="C78" s="43" t="s">
        <v>6</v>
      </c>
      <c r="D78" s="43" t="s">
        <v>83</v>
      </c>
      <c r="E78" s="43" t="s">
        <v>84</v>
      </c>
      <c r="F78" s="43" t="s">
        <v>85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86</v>
      </c>
      <c r="S78" s="44" t="s">
        <v>87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4">
      <c r="A79" s="47">
        <v>6</v>
      </c>
      <c r="B79" s="48">
        <v>10</v>
      </c>
      <c r="C79" s="49">
        <v>20</v>
      </c>
      <c r="D79" s="48" t="s">
        <v>14</v>
      </c>
      <c r="E79" s="49"/>
      <c r="F79" s="49"/>
      <c r="G79" s="48" t="s">
        <v>88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v>0</v>
      </c>
      <c r="S79" s="51" t="s">
        <v>89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3">
        <v>0</v>
      </c>
      <c r="AD79" s="41"/>
      <c r="AE79" s="2"/>
      <c r="AH79" s="2"/>
    </row>
    <row r="80" spans="1:35" x14ac:dyDescent="0.4">
      <c r="A80" s="54"/>
      <c r="B80" s="55"/>
      <c r="C80" s="55"/>
      <c r="D80" s="55"/>
      <c r="E80" s="55"/>
      <c r="F80" s="55"/>
      <c r="G80" s="43" t="s">
        <v>90</v>
      </c>
      <c r="H80" s="43">
        <v>1</v>
      </c>
      <c r="I80" s="43">
        <v>1</v>
      </c>
      <c r="J80" s="43">
        <v>0</v>
      </c>
      <c r="K80" s="43">
        <v>0</v>
      </c>
      <c r="L80" s="43">
        <v>1</v>
      </c>
      <c r="M80" s="43">
        <v>0</v>
      </c>
      <c r="N80" s="43">
        <v>1</v>
      </c>
      <c r="O80" s="43">
        <v>0</v>
      </c>
      <c r="P80" s="43">
        <v>1</v>
      </c>
      <c r="Q80" s="56">
        <v>5</v>
      </c>
      <c r="S80" s="57" t="s">
        <v>91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5</v>
      </c>
      <c r="Z80" s="58">
        <v>0</v>
      </c>
      <c r="AA80" s="58">
        <v>0</v>
      </c>
      <c r="AB80" s="58">
        <v>0</v>
      </c>
      <c r="AC80" s="59">
        <v>5</v>
      </c>
      <c r="AD80" s="41"/>
      <c r="AE80" s="2"/>
      <c r="AH80" s="2"/>
    </row>
    <row r="81" spans="1:35" ht="15" thickBot="1" x14ac:dyDescent="0.45">
      <c r="A81" s="54"/>
      <c r="B81" s="55"/>
      <c r="C81" s="55"/>
      <c r="D81" s="55"/>
      <c r="E81" s="55"/>
      <c r="F81" s="55"/>
      <c r="G81" s="60" t="s">
        <v>92</v>
      </c>
      <c r="H81" s="61">
        <v>-1</v>
      </c>
      <c r="I81" s="61">
        <v>-1</v>
      </c>
      <c r="J81" s="61">
        <v>0</v>
      </c>
      <c r="K81" s="61">
        <v>0</v>
      </c>
      <c r="L81" s="61">
        <v>-1</v>
      </c>
      <c r="M81" s="61">
        <v>0</v>
      </c>
      <c r="N81" s="61">
        <v>-1</v>
      </c>
      <c r="O81" s="61">
        <v>0</v>
      </c>
      <c r="P81" s="61">
        <v>-1</v>
      </c>
      <c r="Q81" s="62">
        <v>-5</v>
      </c>
      <c r="S81" s="63" t="s">
        <v>73</v>
      </c>
      <c r="T81" s="43">
        <v>4</v>
      </c>
      <c r="U81" s="43">
        <v>3</v>
      </c>
      <c r="V81" s="43">
        <v>4</v>
      </c>
      <c r="W81" s="43">
        <v>5</v>
      </c>
      <c r="X81" s="43">
        <v>4</v>
      </c>
      <c r="Y81" s="43">
        <v>3</v>
      </c>
      <c r="Z81" s="43">
        <v>4</v>
      </c>
      <c r="AA81" s="43">
        <v>5</v>
      </c>
      <c r="AB81" s="43">
        <v>4</v>
      </c>
      <c r="AC81" s="56">
        <v>36</v>
      </c>
      <c r="AD81" s="41"/>
      <c r="AE81" s="2"/>
      <c r="AH81" s="2"/>
    </row>
    <row r="82" spans="1:35" x14ac:dyDescent="0.4">
      <c r="A82" s="64" t="s">
        <v>73</v>
      </c>
      <c r="B82" s="58">
        <v>10</v>
      </c>
      <c r="C82" s="65">
        <v>19</v>
      </c>
      <c r="D82" s="48" t="s">
        <v>13</v>
      </c>
      <c r="E82" s="65"/>
      <c r="F82" s="65"/>
      <c r="G82" s="58" t="s">
        <v>88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v>0</v>
      </c>
      <c r="S82" s="66" t="s">
        <v>89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Z82" s="52">
        <v>0</v>
      </c>
      <c r="AA82" s="52">
        <v>0</v>
      </c>
      <c r="AB82" s="52">
        <v>0</v>
      </c>
      <c r="AC82" s="62">
        <v>0</v>
      </c>
      <c r="AD82" s="41"/>
      <c r="AE82" s="2"/>
      <c r="AH82" s="2"/>
    </row>
    <row r="83" spans="1:35" ht="15" thickBot="1" x14ac:dyDescent="0.45">
      <c r="A83" s="54"/>
      <c r="B83" s="55"/>
      <c r="C83" s="55"/>
      <c r="D83" s="55"/>
      <c r="E83" s="55"/>
      <c r="F83" s="55"/>
      <c r="G83" s="43" t="s">
        <v>90</v>
      </c>
      <c r="H83" s="43">
        <v>1</v>
      </c>
      <c r="I83" s="82">
        <v>1</v>
      </c>
      <c r="J83" s="43">
        <v>1</v>
      </c>
      <c r="K83" s="43">
        <v>1</v>
      </c>
      <c r="L83" s="43">
        <v>1</v>
      </c>
      <c r="M83" s="43">
        <v>0</v>
      </c>
      <c r="N83" s="43">
        <v>1</v>
      </c>
      <c r="O83" s="43">
        <v>1</v>
      </c>
      <c r="P83" s="43">
        <v>1</v>
      </c>
      <c r="Q83" s="56">
        <v>8</v>
      </c>
      <c r="S83" s="57" t="s">
        <v>91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5</v>
      </c>
      <c r="Z83" s="58">
        <v>0</v>
      </c>
      <c r="AA83" s="58">
        <v>0</v>
      </c>
      <c r="AB83" s="58">
        <v>0</v>
      </c>
      <c r="AC83" s="59">
        <v>5</v>
      </c>
      <c r="AD83" s="41"/>
      <c r="AE83" s="2"/>
      <c r="AH83" s="2"/>
    </row>
    <row r="84" spans="1:35" ht="15" thickBot="1" x14ac:dyDescent="0.45">
      <c r="A84" s="54"/>
      <c r="B84" s="55"/>
      <c r="C84" s="55"/>
      <c r="D84" s="55"/>
      <c r="E84" s="55"/>
      <c r="F84" s="55"/>
      <c r="G84" s="60" t="s">
        <v>92</v>
      </c>
      <c r="H84" s="61">
        <v>-1</v>
      </c>
      <c r="I84" s="61">
        <v>-1</v>
      </c>
      <c r="J84" s="61">
        <v>-1</v>
      </c>
      <c r="K84" s="61">
        <v>-1</v>
      </c>
      <c r="L84" s="61">
        <v>-1</v>
      </c>
      <c r="M84" s="61">
        <v>0</v>
      </c>
      <c r="N84" s="61">
        <v>-1</v>
      </c>
      <c r="O84" s="61">
        <v>-1</v>
      </c>
      <c r="P84" s="61">
        <v>-1</v>
      </c>
      <c r="Q84" s="62">
        <v>-8</v>
      </c>
      <c r="S84" s="63" t="s">
        <v>73</v>
      </c>
      <c r="T84" s="43">
        <v>4</v>
      </c>
      <c r="U84" s="43">
        <v>3</v>
      </c>
      <c r="V84" s="43">
        <v>4</v>
      </c>
      <c r="W84" s="43">
        <v>5</v>
      </c>
      <c r="X84" s="43">
        <v>4</v>
      </c>
      <c r="Y84" s="43">
        <v>3</v>
      </c>
      <c r="Z84" s="43">
        <v>4</v>
      </c>
      <c r="AA84" s="43">
        <v>5</v>
      </c>
      <c r="AB84" s="43">
        <v>4</v>
      </c>
      <c r="AC84" s="56">
        <v>36</v>
      </c>
      <c r="AD84" s="41">
        <v>10</v>
      </c>
      <c r="AE84" s="81">
        <v>10</v>
      </c>
      <c r="AF84" s="67">
        <v>4</v>
      </c>
      <c r="AG84" s="67">
        <v>4</v>
      </c>
      <c r="AH84" s="68">
        <v>8</v>
      </c>
      <c r="AI84" s="68">
        <v>16</v>
      </c>
    </row>
    <row r="85" spans="1:35" x14ac:dyDescent="0.4">
      <c r="A85" s="64" t="s">
        <v>93</v>
      </c>
      <c r="B85" s="69">
        <v>18</v>
      </c>
      <c r="C85" s="70">
        <v>36</v>
      </c>
      <c r="D85" s="69" t="s">
        <v>28</v>
      </c>
      <c r="E85" s="70"/>
      <c r="F85" s="70"/>
      <c r="G85" s="69" t="s">
        <v>88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v>0</v>
      </c>
      <c r="S85" s="66" t="s">
        <v>89</v>
      </c>
      <c r="T85" s="52">
        <v>0</v>
      </c>
      <c r="U85" s="52">
        <v>0</v>
      </c>
      <c r="V85" s="52">
        <v>0</v>
      </c>
      <c r="W85" s="52">
        <v>0</v>
      </c>
      <c r="X85" s="52">
        <v>0</v>
      </c>
      <c r="Y85" s="52">
        <v>0</v>
      </c>
      <c r="Z85" s="52">
        <v>0</v>
      </c>
      <c r="AA85" s="52">
        <v>0</v>
      </c>
      <c r="AB85" s="52">
        <v>0</v>
      </c>
      <c r="AC85" s="62">
        <v>0</v>
      </c>
      <c r="AD85" s="41"/>
      <c r="AE85" s="2"/>
      <c r="AH85" s="2"/>
    </row>
    <row r="86" spans="1:35" x14ac:dyDescent="0.4">
      <c r="A86" s="54"/>
      <c r="B86" s="55"/>
      <c r="C86" s="55"/>
      <c r="D86" s="55"/>
      <c r="E86" s="55"/>
      <c r="F86" s="55"/>
      <c r="G86" s="43" t="s">
        <v>90</v>
      </c>
      <c r="H86" s="43">
        <v>2</v>
      </c>
      <c r="I86" s="43">
        <v>2</v>
      </c>
      <c r="J86" s="43">
        <v>1</v>
      </c>
      <c r="K86" s="43">
        <v>1</v>
      </c>
      <c r="L86" s="43">
        <v>1</v>
      </c>
      <c r="M86" s="43">
        <v>1</v>
      </c>
      <c r="N86" s="43">
        <v>2</v>
      </c>
      <c r="O86" s="43">
        <v>1</v>
      </c>
      <c r="P86" s="43">
        <v>1</v>
      </c>
      <c r="Q86" s="56">
        <v>12</v>
      </c>
      <c r="S86" s="72" t="s">
        <v>91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1">
        <v>0</v>
      </c>
      <c r="AD86" s="41"/>
      <c r="AE86" s="2"/>
      <c r="AH86" s="2"/>
    </row>
    <row r="87" spans="1:35" x14ac:dyDescent="0.4">
      <c r="A87" s="54"/>
      <c r="B87" s="55"/>
      <c r="C87" s="55"/>
      <c r="D87" s="55"/>
      <c r="E87" s="55"/>
      <c r="F87" s="55"/>
      <c r="G87" s="60" t="s">
        <v>92</v>
      </c>
      <c r="H87" s="61">
        <v>-2</v>
      </c>
      <c r="I87" s="61">
        <v>-2</v>
      </c>
      <c r="J87" s="61">
        <v>-1</v>
      </c>
      <c r="K87" s="61">
        <v>-1</v>
      </c>
      <c r="L87" s="61">
        <v>-1</v>
      </c>
      <c r="M87" s="61">
        <v>-1</v>
      </c>
      <c r="N87" s="61">
        <v>-2</v>
      </c>
      <c r="O87" s="61">
        <v>-1</v>
      </c>
      <c r="P87" s="61">
        <v>-1</v>
      </c>
      <c r="Q87" s="62">
        <v>-12</v>
      </c>
      <c r="S87" s="63" t="s">
        <v>73</v>
      </c>
      <c r="T87" s="43">
        <v>4</v>
      </c>
      <c r="U87" s="43">
        <v>3</v>
      </c>
      <c r="V87" s="43">
        <v>4</v>
      </c>
      <c r="W87" s="43">
        <v>5</v>
      </c>
      <c r="X87" s="43">
        <v>4</v>
      </c>
      <c r="Y87" s="43">
        <v>3</v>
      </c>
      <c r="Z87" s="43">
        <v>4</v>
      </c>
      <c r="AA87" s="43">
        <v>5</v>
      </c>
      <c r="AB87" s="43">
        <v>4</v>
      </c>
      <c r="AC87" s="56">
        <v>36</v>
      </c>
      <c r="AD87" s="41"/>
      <c r="AE87" s="2"/>
      <c r="AH87" s="2"/>
    </row>
    <row r="88" spans="1:35" x14ac:dyDescent="0.4">
      <c r="A88" s="64" t="s">
        <v>99</v>
      </c>
      <c r="B88" s="69">
        <v>18</v>
      </c>
      <c r="C88" s="70">
        <v>35</v>
      </c>
      <c r="D88" s="69" t="s">
        <v>27</v>
      </c>
      <c r="E88" s="70"/>
      <c r="F88" s="70"/>
      <c r="G88" s="69" t="s">
        <v>88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v>0</v>
      </c>
      <c r="S88" s="66" t="s">
        <v>89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0</v>
      </c>
      <c r="AA88" s="52">
        <v>0</v>
      </c>
      <c r="AB88" s="52">
        <v>0</v>
      </c>
      <c r="AC88" s="62">
        <v>0</v>
      </c>
      <c r="AD88" s="41"/>
      <c r="AE88" s="2"/>
      <c r="AH88" s="2"/>
    </row>
    <row r="89" spans="1:35" ht="15" thickBot="1" x14ac:dyDescent="0.45">
      <c r="A89" s="54"/>
      <c r="B89" s="55"/>
      <c r="C89" s="55"/>
      <c r="D89" s="55"/>
      <c r="E89" s="55"/>
      <c r="F89" s="55"/>
      <c r="G89" s="43" t="s">
        <v>90</v>
      </c>
      <c r="H89" s="43">
        <v>3</v>
      </c>
      <c r="I89" s="43">
        <v>2</v>
      </c>
      <c r="J89" s="43">
        <v>2</v>
      </c>
      <c r="K89" s="43">
        <v>2</v>
      </c>
      <c r="L89" s="43">
        <v>2</v>
      </c>
      <c r="M89" s="43">
        <v>2</v>
      </c>
      <c r="N89" s="43">
        <v>3</v>
      </c>
      <c r="O89" s="43">
        <v>2</v>
      </c>
      <c r="P89" s="43">
        <v>2</v>
      </c>
      <c r="Q89" s="56">
        <v>20</v>
      </c>
      <c r="S89" s="72" t="s">
        <v>91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1">
        <v>0</v>
      </c>
      <c r="AD89" s="41"/>
      <c r="AE89" s="2"/>
      <c r="AH89" s="2"/>
    </row>
    <row r="90" spans="1:35" ht="15" thickBot="1" x14ac:dyDescent="0.45">
      <c r="A90" s="73"/>
      <c r="B90" s="74"/>
      <c r="C90" s="74"/>
      <c r="D90" s="74"/>
      <c r="E90" s="74"/>
      <c r="F90" s="74"/>
      <c r="G90" s="75" t="s">
        <v>92</v>
      </c>
      <c r="H90" s="61">
        <v>-3</v>
      </c>
      <c r="I90" s="61">
        <v>-2</v>
      </c>
      <c r="J90" s="61">
        <v>-2</v>
      </c>
      <c r="K90" s="61">
        <v>-2</v>
      </c>
      <c r="L90" s="61">
        <v>-2</v>
      </c>
      <c r="M90" s="61">
        <v>-2</v>
      </c>
      <c r="N90" s="61">
        <v>-3</v>
      </c>
      <c r="O90" s="61">
        <v>-2</v>
      </c>
      <c r="P90" s="61">
        <v>-2</v>
      </c>
      <c r="Q90" s="76">
        <v>-20</v>
      </c>
      <c r="S90" s="28" t="s">
        <v>73</v>
      </c>
      <c r="T90" s="77">
        <v>4</v>
      </c>
      <c r="U90" s="77">
        <v>3</v>
      </c>
      <c r="V90" s="77">
        <v>4</v>
      </c>
      <c r="W90" s="77">
        <v>5</v>
      </c>
      <c r="X90" s="77">
        <v>4</v>
      </c>
      <c r="Y90" s="77">
        <v>3</v>
      </c>
      <c r="Z90" s="77">
        <v>4</v>
      </c>
      <c r="AA90" s="77">
        <v>5</v>
      </c>
      <c r="AB90" s="77">
        <v>4</v>
      </c>
      <c r="AC90" s="78">
        <v>36</v>
      </c>
      <c r="AD90" s="41">
        <v>18</v>
      </c>
      <c r="AE90" s="79">
        <v>0</v>
      </c>
      <c r="AF90" s="79">
        <v>0</v>
      </c>
      <c r="AG90" s="79">
        <v>0</v>
      </c>
      <c r="AH90" s="80">
        <v>6</v>
      </c>
      <c r="AI90" s="80">
        <v>6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45">
      <c r="A92" s="43" t="s">
        <v>81</v>
      </c>
      <c r="B92" s="43" t="s">
        <v>0</v>
      </c>
      <c r="C92" s="43" t="s">
        <v>6</v>
      </c>
      <c r="D92" s="43" t="s">
        <v>83</v>
      </c>
      <c r="E92" s="43" t="s">
        <v>84</v>
      </c>
      <c r="F92" s="43" t="s">
        <v>85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86</v>
      </c>
      <c r="S92" s="44" t="s">
        <v>87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4">
      <c r="A93" s="47">
        <v>2</v>
      </c>
      <c r="B93" s="48">
        <v>12</v>
      </c>
      <c r="C93" s="49">
        <v>24</v>
      </c>
      <c r="D93" s="48" t="s">
        <v>16</v>
      </c>
      <c r="E93" s="49"/>
      <c r="F93" s="49"/>
      <c r="G93" s="48" t="s">
        <v>88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v>0</v>
      </c>
      <c r="S93" s="51" t="s">
        <v>89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Z93" s="52">
        <v>0</v>
      </c>
      <c r="AA93" s="52">
        <v>0</v>
      </c>
      <c r="AB93" s="52">
        <v>0</v>
      </c>
      <c r="AC93" s="53">
        <v>0</v>
      </c>
      <c r="AD93" s="41"/>
      <c r="AE93" s="2"/>
      <c r="AH93" s="2"/>
    </row>
    <row r="94" spans="1:35" x14ac:dyDescent="0.4">
      <c r="A94" s="54"/>
      <c r="B94" s="55"/>
      <c r="C94" s="55"/>
      <c r="D94" s="55"/>
      <c r="E94" s="55"/>
      <c r="F94" s="55"/>
      <c r="G94" s="43" t="s">
        <v>90</v>
      </c>
      <c r="H94" s="43">
        <v>1</v>
      </c>
      <c r="I94" s="43">
        <v>1</v>
      </c>
      <c r="J94" s="43">
        <v>0</v>
      </c>
      <c r="K94" s="43">
        <v>0</v>
      </c>
      <c r="L94" s="43">
        <v>1</v>
      </c>
      <c r="M94" s="43">
        <v>0</v>
      </c>
      <c r="N94" s="43">
        <v>1</v>
      </c>
      <c r="O94" s="43">
        <v>0</v>
      </c>
      <c r="P94" s="43">
        <v>0</v>
      </c>
      <c r="Q94" s="56">
        <v>4</v>
      </c>
      <c r="S94" s="57" t="s">
        <v>91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58">
        <v>5</v>
      </c>
      <c r="Z94" s="58">
        <v>0</v>
      </c>
      <c r="AA94" s="58">
        <v>0</v>
      </c>
      <c r="AB94" s="58">
        <v>0</v>
      </c>
      <c r="AC94" s="59">
        <v>5</v>
      </c>
      <c r="AD94" s="41"/>
      <c r="AE94" s="2"/>
      <c r="AH94" s="2"/>
    </row>
    <row r="95" spans="1:35" ht="15" thickBot="1" x14ac:dyDescent="0.45">
      <c r="A95" s="54"/>
      <c r="B95" s="55"/>
      <c r="C95" s="55"/>
      <c r="D95" s="55"/>
      <c r="E95" s="55"/>
      <c r="F95" s="55"/>
      <c r="G95" s="60" t="s">
        <v>92</v>
      </c>
      <c r="H95" s="61">
        <v>-1</v>
      </c>
      <c r="I95" s="61">
        <v>-1</v>
      </c>
      <c r="J95" s="61">
        <v>0</v>
      </c>
      <c r="K95" s="61">
        <v>0</v>
      </c>
      <c r="L95" s="61">
        <v>-1</v>
      </c>
      <c r="M95" s="61">
        <v>0</v>
      </c>
      <c r="N95" s="61">
        <v>-1</v>
      </c>
      <c r="O95" s="61">
        <v>0</v>
      </c>
      <c r="P95" s="61">
        <v>0</v>
      </c>
      <c r="Q95" s="62">
        <v>-4</v>
      </c>
      <c r="S95" s="63" t="s">
        <v>73</v>
      </c>
      <c r="T95" s="43">
        <v>4</v>
      </c>
      <c r="U95" s="43">
        <v>3</v>
      </c>
      <c r="V95" s="43">
        <v>4</v>
      </c>
      <c r="W95" s="43">
        <v>5</v>
      </c>
      <c r="X95" s="43">
        <v>4</v>
      </c>
      <c r="Y95" s="43">
        <v>3</v>
      </c>
      <c r="Z95" s="43">
        <v>4</v>
      </c>
      <c r="AA95" s="43">
        <v>5</v>
      </c>
      <c r="AB95" s="43">
        <v>4</v>
      </c>
      <c r="AC95" s="56">
        <v>36</v>
      </c>
      <c r="AD95" s="41"/>
      <c r="AE95" s="2"/>
      <c r="AH95" s="2"/>
    </row>
    <row r="96" spans="1:35" x14ac:dyDescent="0.4">
      <c r="A96" s="64" t="s">
        <v>73</v>
      </c>
      <c r="B96" s="58">
        <v>12</v>
      </c>
      <c r="C96" s="65">
        <v>23</v>
      </c>
      <c r="D96" s="48" t="s">
        <v>15</v>
      </c>
      <c r="E96" s="65"/>
      <c r="F96" s="65"/>
      <c r="G96" s="58" t="s">
        <v>88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v>0</v>
      </c>
      <c r="S96" s="66" t="s">
        <v>89</v>
      </c>
      <c r="T96" s="52">
        <v>0</v>
      </c>
      <c r="U96" s="52">
        <v>0</v>
      </c>
      <c r="V96" s="52">
        <v>0</v>
      </c>
      <c r="W96" s="52">
        <v>0</v>
      </c>
      <c r="X96" s="52">
        <v>0</v>
      </c>
      <c r="Y96" s="52">
        <v>0</v>
      </c>
      <c r="Z96" s="52">
        <v>0</v>
      </c>
      <c r="AA96" s="52">
        <v>0</v>
      </c>
      <c r="AB96" s="52">
        <v>0</v>
      </c>
      <c r="AC96" s="62">
        <v>0</v>
      </c>
      <c r="AD96" s="41"/>
      <c r="AE96" s="2"/>
      <c r="AH96" s="2"/>
    </row>
    <row r="97" spans="1:35" ht="15" thickBot="1" x14ac:dyDescent="0.45">
      <c r="A97" s="54"/>
      <c r="B97" s="55"/>
      <c r="C97" s="55"/>
      <c r="D97" s="55"/>
      <c r="E97" s="55"/>
      <c r="F97" s="55"/>
      <c r="G97" s="43" t="s">
        <v>90</v>
      </c>
      <c r="H97" s="43">
        <v>2</v>
      </c>
      <c r="I97" s="43">
        <v>2</v>
      </c>
      <c r="J97" s="43">
        <v>1</v>
      </c>
      <c r="K97" s="43">
        <v>1</v>
      </c>
      <c r="L97" s="43">
        <v>2</v>
      </c>
      <c r="M97" s="43">
        <v>1</v>
      </c>
      <c r="N97" s="43">
        <v>2</v>
      </c>
      <c r="O97" s="43">
        <v>1</v>
      </c>
      <c r="P97" s="43">
        <v>1</v>
      </c>
      <c r="Q97" s="56">
        <v>13</v>
      </c>
      <c r="S97" s="57" t="s">
        <v>91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9">
        <v>0</v>
      </c>
      <c r="AD97" s="41"/>
      <c r="AE97" s="2"/>
      <c r="AH97" s="2"/>
    </row>
    <row r="98" spans="1:35" ht="15" thickBot="1" x14ac:dyDescent="0.45">
      <c r="A98" s="54"/>
      <c r="B98" s="55"/>
      <c r="C98" s="55"/>
      <c r="D98" s="55"/>
      <c r="E98" s="55"/>
      <c r="F98" s="55"/>
      <c r="G98" s="60" t="s">
        <v>92</v>
      </c>
      <c r="H98" s="61">
        <v>-2</v>
      </c>
      <c r="I98" s="61">
        <v>-2</v>
      </c>
      <c r="J98" s="61">
        <v>-1</v>
      </c>
      <c r="K98" s="61">
        <v>-1</v>
      </c>
      <c r="L98" s="61">
        <v>-2</v>
      </c>
      <c r="M98" s="61">
        <v>-1</v>
      </c>
      <c r="N98" s="61">
        <v>-2</v>
      </c>
      <c r="O98" s="61">
        <v>-1</v>
      </c>
      <c r="P98" s="61">
        <v>-1</v>
      </c>
      <c r="Q98" s="62">
        <v>-13</v>
      </c>
      <c r="S98" s="63" t="s">
        <v>73</v>
      </c>
      <c r="T98" s="43">
        <v>4</v>
      </c>
      <c r="U98" s="43">
        <v>3</v>
      </c>
      <c r="V98" s="43">
        <v>4</v>
      </c>
      <c r="W98" s="43">
        <v>5</v>
      </c>
      <c r="X98" s="43">
        <v>4</v>
      </c>
      <c r="Y98" s="43">
        <v>3</v>
      </c>
      <c r="Z98" s="43">
        <v>4</v>
      </c>
      <c r="AA98" s="43">
        <v>5</v>
      </c>
      <c r="AB98" s="43">
        <v>4</v>
      </c>
      <c r="AC98" s="56">
        <v>36</v>
      </c>
      <c r="AD98" s="41">
        <v>12</v>
      </c>
      <c r="AE98" s="81">
        <v>5</v>
      </c>
      <c r="AF98" s="67">
        <v>3</v>
      </c>
      <c r="AG98" s="67">
        <v>4</v>
      </c>
      <c r="AH98" s="68">
        <v>8</v>
      </c>
      <c r="AI98" s="68">
        <v>15</v>
      </c>
    </row>
    <row r="99" spans="1:35" x14ac:dyDescent="0.4">
      <c r="A99" s="64" t="s">
        <v>93</v>
      </c>
      <c r="B99" s="69">
        <v>13</v>
      </c>
      <c r="C99" s="70">
        <v>26</v>
      </c>
      <c r="D99" s="69" t="s">
        <v>38</v>
      </c>
      <c r="E99" s="70"/>
      <c r="F99" s="70"/>
      <c r="G99" s="69" t="s">
        <v>88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v>0</v>
      </c>
      <c r="S99" s="66" t="s">
        <v>89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62">
        <v>0</v>
      </c>
      <c r="AD99" s="41"/>
      <c r="AE99" s="2"/>
      <c r="AH99" s="2"/>
    </row>
    <row r="100" spans="1:35" x14ac:dyDescent="0.4">
      <c r="A100" s="54"/>
      <c r="B100" s="55"/>
      <c r="C100" s="55"/>
      <c r="D100" s="55"/>
      <c r="E100" s="55"/>
      <c r="F100" s="55"/>
      <c r="G100" s="43" t="s">
        <v>90</v>
      </c>
      <c r="H100" s="43">
        <v>2</v>
      </c>
      <c r="I100" s="43">
        <v>1</v>
      </c>
      <c r="J100" s="43">
        <v>1</v>
      </c>
      <c r="K100" s="43">
        <v>1</v>
      </c>
      <c r="L100" s="43">
        <v>1</v>
      </c>
      <c r="M100" s="43">
        <v>1</v>
      </c>
      <c r="N100" s="43">
        <v>2</v>
      </c>
      <c r="O100" s="43">
        <v>1</v>
      </c>
      <c r="P100" s="43">
        <v>1</v>
      </c>
      <c r="Q100" s="56">
        <v>11</v>
      </c>
      <c r="S100" s="72" t="s">
        <v>91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1">
        <v>0</v>
      </c>
      <c r="AD100" s="41"/>
      <c r="AE100" s="2"/>
      <c r="AH100" s="2"/>
    </row>
    <row r="101" spans="1:35" x14ac:dyDescent="0.4">
      <c r="A101" s="54"/>
      <c r="B101" s="55"/>
      <c r="C101" s="55"/>
      <c r="D101" s="55"/>
      <c r="E101" s="55"/>
      <c r="F101" s="55"/>
      <c r="G101" s="60" t="s">
        <v>92</v>
      </c>
      <c r="H101" s="61">
        <v>-2</v>
      </c>
      <c r="I101" s="61">
        <v>-1</v>
      </c>
      <c r="J101" s="61">
        <v>-1</v>
      </c>
      <c r="K101" s="61">
        <v>-1</v>
      </c>
      <c r="L101" s="61">
        <v>-1</v>
      </c>
      <c r="M101" s="61">
        <v>-1</v>
      </c>
      <c r="N101" s="61">
        <v>-2</v>
      </c>
      <c r="O101" s="61">
        <v>-1</v>
      </c>
      <c r="P101" s="61">
        <v>-1</v>
      </c>
      <c r="Q101" s="62">
        <v>-11</v>
      </c>
      <c r="S101" s="63" t="s">
        <v>73</v>
      </c>
      <c r="T101" s="43">
        <v>4</v>
      </c>
      <c r="U101" s="43">
        <v>3</v>
      </c>
      <c r="V101" s="43">
        <v>4</v>
      </c>
      <c r="W101" s="43">
        <v>5</v>
      </c>
      <c r="X101" s="43">
        <v>4</v>
      </c>
      <c r="Y101" s="43">
        <v>3</v>
      </c>
      <c r="Z101" s="43">
        <v>4</v>
      </c>
      <c r="AA101" s="43">
        <v>5</v>
      </c>
      <c r="AB101" s="43">
        <v>4</v>
      </c>
      <c r="AC101" s="56">
        <v>36</v>
      </c>
      <c r="AD101" s="41"/>
      <c r="AE101" s="2"/>
      <c r="AH101" s="2"/>
    </row>
    <row r="102" spans="1:35" x14ac:dyDescent="0.4">
      <c r="A102" s="64" t="s">
        <v>100</v>
      </c>
      <c r="B102" s="69">
        <v>13</v>
      </c>
      <c r="C102" s="70">
        <v>25</v>
      </c>
      <c r="D102" s="69" t="s">
        <v>37</v>
      </c>
      <c r="E102" s="70"/>
      <c r="F102" s="70"/>
      <c r="G102" s="69" t="s">
        <v>88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v>0</v>
      </c>
      <c r="S102" s="66" t="s">
        <v>89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Z102" s="52">
        <v>0</v>
      </c>
      <c r="AA102" s="52">
        <v>0</v>
      </c>
      <c r="AB102" s="52">
        <v>0</v>
      </c>
      <c r="AC102" s="62">
        <v>0</v>
      </c>
      <c r="AD102" s="41"/>
      <c r="AE102" s="2"/>
      <c r="AH102" s="2"/>
    </row>
    <row r="103" spans="1:35" ht="15" thickBot="1" x14ac:dyDescent="0.45">
      <c r="A103" s="54"/>
      <c r="B103" s="55"/>
      <c r="C103" s="55"/>
      <c r="D103" s="55"/>
      <c r="E103" s="55"/>
      <c r="F103" s="55"/>
      <c r="G103" s="43" t="s">
        <v>90</v>
      </c>
      <c r="H103" s="43">
        <v>2</v>
      </c>
      <c r="I103" s="43">
        <v>2</v>
      </c>
      <c r="J103" s="43">
        <v>2</v>
      </c>
      <c r="K103" s="43">
        <v>2</v>
      </c>
      <c r="L103" s="43">
        <v>2</v>
      </c>
      <c r="M103" s="43">
        <v>2</v>
      </c>
      <c r="N103" s="43">
        <v>2</v>
      </c>
      <c r="O103" s="43">
        <v>2</v>
      </c>
      <c r="P103" s="43">
        <v>2</v>
      </c>
      <c r="Q103" s="56">
        <v>18</v>
      </c>
      <c r="S103" s="72" t="s">
        <v>91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1">
        <v>0</v>
      </c>
      <c r="AD103" s="41"/>
      <c r="AE103" s="2"/>
      <c r="AH103" s="2"/>
    </row>
    <row r="104" spans="1:35" ht="15" thickBot="1" x14ac:dyDescent="0.45">
      <c r="A104" s="73"/>
      <c r="B104" s="74"/>
      <c r="C104" s="74"/>
      <c r="D104" s="74"/>
      <c r="E104" s="74"/>
      <c r="F104" s="74"/>
      <c r="G104" s="75" t="s">
        <v>92</v>
      </c>
      <c r="H104" s="61">
        <v>-2</v>
      </c>
      <c r="I104" s="61">
        <v>-2</v>
      </c>
      <c r="J104" s="61">
        <v>-2</v>
      </c>
      <c r="K104" s="61">
        <v>-2</v>
      </c>
      <c r="L104" s="61">
        <v>-2</v>
      </c>
      <c r="M104" s="61">
        <v>-2</v>
      </c>
      <c r="N104" s="61">
        <v>-2</v>
      </c>
      <c r="O104" s="61">
        <v>-2</v>
      </c>
      <c r="P104" s="61">
        <v>-2</v>
      </c>
      <c r="Q104" s="76">
        <v>-18</v>
      </c>
      <c r="S104" s="28" t="s">
        <v>73</v>
      </c>
      <c r="T104" s="77">
        <v>4</v>
      </c>
      <c r="U104" s="77">
        <v>3</v>
      </c>
      <c r="V104" s="77">
        <v>4</v>
      </c>
      <c r="W104" s="77">
        <v>5</v>
      </c>
      <c r="X104" s="77">
        <v>4</v>
      </c>
      <c r="Y104" s="77">
        <v>3</v>
      </c>
      <c r="Z104" s="77">
        <v>4</v>
      </c>
      <c r="AA104" s="77">
        <v>5</v>
      </c>
      <c r="AB104" s="77">
        <v>4</v>
      </c>
      <c r="AC104" s="78">
        <v>36</v>
      </c>
      <c r="AD104" s="41">
        <v>13</v>
      </c>
      <c r="AE104" s="79">
        <v>0</v>
      </c>
      <c r="AF104" s="79">
        <v>1</v>
      </c>
      <c r="AG104" s="79">
        <v>0</v>
      </c>
      <c r="AH104" s="80">
        <v>6</v>
      </c>
      <c r="AI104" s="80">
        <v>7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45">
      <c r="A106" s="43" t="s">
        <v>81</v>
      </c>
      <c r="B106" s="43" t="s">
        <v>0</v>
      </c>
      <c r="C106" s="43" t="s">
        <v>6</v>
      </c>
      <c r="D106" s="43" t="s">
        <v>83</v>
      </c>
      <c r="E106" s="43" t="s">
        <v>84</v>
      </c>
      <c r="F106" s="43" t="s">
        <v>85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86</v>
      </c>
      <c r="S106" s="44" t="s">
        <v>87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4">
      <c r="A107" s="47">
        <v>2</v>
      </c>
      <c r="B107" s="48">
        <v>8</v>
      </c>
      <c r="C107" s="49">
        <v>15</v>
      </c>
      <c r="D107" s="48" t="s">
        <v>41</v>
      </c>
      <c r="E107" s="49"/>
      <c r="F107" s="49"/>
      <c r="G107" s="48" t="s">
        <v>88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v>0</v>
      </c>
      <c r="S107" s="51" t="s">
        <v>89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Z107" s="52">
        <v>0</v>
      </c>
      <c r="AA107" s="52">
        <v>0</v>
      </c>
      <c r="AB107" s="52">
        <v>0</v>
      </c>
      <c r="AC107" s="53">
        <v>0</v>
      </c>
      <c r="AD107" s="41"/>
      <c r="AE107" s="2"/>
      <c r="AH107" s="2"/>
    </row>
    <row r="108" spans="1:35" x14ac:dyDescent="0.4">
      <c r="A108" s="54"/>
      <c r="B108" s="55"/>
      <c r="C108" s="55"/>
      <c r="D108" s="55"/>
      <c r="E108" s="55"/>
      <c r="F108" s="55"/>
      <c r="G108" s="43" t="s">
        <v>90</v>
      </c>
      <c r="H108" s="43">
        <v>1</v>
      </c>
      <c r="I108" s="43">
        <v>1</v>
      </c>
      <c r="J108" s="43">
        <v>1</v>
      </c>
      <c r="K108" s="43">
        <v>1</v>
      </c>
      <c r="L108" s="43">
        <v>1</v>
      </c>
      <c r="M108" s="43">
        <v>1</v>
      </c>
      <c r="N108" s="43">
        <v>1</v>
      </c>
      <c r="O108" s="43">
        <v>1</v>
      </c>
      <c r="P108" s="43">
        <v>1</v>
      </c>
      <c r="Q108" s="56">
        <v>9</v>
      </c>
      <c r="S108" s="57" t="s">
        <v>91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0</v>
      </c>
      <c r="Z108" s="58">
        <v>0</v>
      </c>
      <c r="AA108" s="58">
        <v>0</v>
      </c>
      <c r="AB108" s="58">
        <v>0</v>
      </c>
      <c r="AC108" s="59">
        <v>0</v>
      </c>
      <c r="AD108" s="41"/>
      <c r="AE108" s="2"/>
      <c r="AH108" s="2"/>
    </row>
    <row r="109" spans="1:35" ht="15" thickBot="1" x14ac:dyDescent="0.45">
      <c r="A109" s="54"/>
      <c r="B109" s="55"/>
      <c r="C109" s="55"/>
      <c r="D109" s="55"/>
      <c r="E109" s="55"/>
      <c r="F109" s="55"/>
      <c r="G109" s="60" t="s">
        <v>92</v>
      </c>
      <c r="H109" s="61">
        <v>-1</v>
      </c>
      <c r="I109" s="61">
        <v>-1</v>
      </c>
      <c r="J109" s="61">
        <v>-1</v>
      </c>
      <c r="K109" s="61">
        <v>-1</v>
      </c>
      <c r="L109" s="61">
        <v>-1</v>
      </c>
      <c r="M109" s="61">
        <v>-1</v>
      </c>
      <c r="N109" s="61">
        <v>-1</v>
      </c>
      <c r="O109" s="61">
        <v>-1</v>
      </c>
      <c r="P109" s="61">
        <v>-1</v>
      </c>
      <c r="Q109" s="62">
        <v>-9</v>
      </c>
      <c r="S109" s="63" t="s">
        <v>73</v>
      </c>
      <c r="T109" s="43">
        <v>4</v>
      </c>
      <c r="U109" s="43">
        <v>3</v>
      </c>
      <c r="V109" s="43">
        <v>4</v>
      </c>
      <c r="W109" s="43">
        <v>5</v>
      </c>
      <c r="X109" s="43">
        <v>4</v>
      </c>
      <c r="Y109" s="43">
        <v>3</v>
      </c>
      <c r="Z109" s="43">
        <v>4</v>
      </c>
      <c r="AA109" s="43">
        <v>5</v>
      </c>
      <c r="AB109" s="43">
        <v>4</v>
      </c>
      <c r="AC109" s="56">
        <v>36</v>
      </c>
      <c r="AD109" s="41"/>
      <c r="AE109" s="2"/>
      <c r="AH109" s="2"/>
    </row>
    <row r="110" spans="1:35" x14ac:dyDescent="0.4">
      <c r="A110" s="64" t="s">
        <v>73</v>
      </c>
      <c r="B110" s="58">
        <v>8</v>
      </c>
      <c r="C110" s="65">
        <v>16</v>
      </c>
      <c r="D110" s="48" t="s">
        <v>42</v>
      </c>
      <c r="E110" s="65"/>
      <c r="F110" s="65"/>
      <c r="G110" s="58" t="s">
        <v>88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v>0</v>
      </c>
      <c r="S110" s="66" t="s">
        <v>89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62">
        <v>0</v>
      </c>
      <c r="AD110" s="41"/>
      <c r="AE110" s="2"/>
      <c r="AH110" s="2"/>
    </row>
    <row r="111" spans="1:35" ht="15" thickBot="1" x14ac:dyDescent="0.45">
      <c r="A111" s="54"/>
      <c r="B111" s="55"/>
      <c r="C111" s="55"/>
      <c r="D111" s="55"/>
      <c r="E111" s="55"/>
      <c r="F111" s="55"/>
      <c r="G111" s="43" t="s">
        <v>90</v>
      </c>
      <c r="H111" s="43">
        <v>1</v>
      </c>
      <c r="I111" s="43">
        <v>1</v>
      </c>
      <c r="J111" s="43">
        <v>1</v>
      </c>
      <c r="K111" s="43">
        <v>1</v>
      </c>
      <c r="L111" s="43">
        <v>1</v>
      </c>
      <c r="M111" s="43">
        <v>1</v>
      </c>
      <c r="N111" s="43">
        <v>1</v>
      </c>
      <c r="O111" s="43">
        <v>1</v>
      </c>
      <c r="P111" s="43">
        <v>1</v>
      </c>
      <c r="Q111" s="56">
        <v>9</v>
      </c>
      <c r="S111" s="57" t="s">
        <v>91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0</v>
      </c>
      <c r="AB111" s="58">
        <v>0</v>
      </c>
      <c r="AC111" s="59">
        <v>0</v>
      </c>
      <c r="AD111" s="41"/>
      <c r="AE111" s="2"/>
      <c r="AH111" s="2"/>
    </row>
    <row r="112" spans="1:35" ht="15" thickBot="1" x14ac:dyDescent="0.45">
      <c r="A112" s="54"/>
      <c r="B112" s="55"/>
      <c r="C112" s="55"/>
      <c r="D112" s="55"/>
      <c r="E112" s="55"/>
      <c r="F112" s="55"/>
      <c r="G112" s="60" t="s">
        <v>92</v>
      </c>
      <c r="H112" s="61">
        <v>-1</v>
      </c>
      <c r="I112" s="61">
        <v>-1</v>
      </c>
      <c r="J112" s="61">
        <v>-1</v>
      </c>
      <c r="K112" s="61">
        <v>-1</v>
      </c>
      <c r="L112" s="61">
        <v>-1</v>
      </c>
      <c r="M112" s="61">
        <v>-1</v>
      </c>
      <c r="N112" s="61">
        <v>-1</v>
      </c>
      <c r="O112" s="61">
        <v>-1</v>
      </c>
      <c r="P112" s="61">
        <v>-1</v>
      </c>
      <c r="Q112" s="62">
        <v>-9</v>
      </c>
      <c r="S112" s="63" t="s">
        <v>73</v>
      </c>
      <c r="T112" s="43">
        <v>4</v>
      </c>
      <c r="U112" s="43">
        <v>3</v>
      </c>
      <c r="V112" s="43">
        <v>4</v>
      </c>
      <c r="W112" s="43">
        <v>5</v>
      </c>
      <c r="X112" s="43">
        <v>4</v>
      </c>
      <c r="Y112" s="43">
        <v>3</v>
      </c>
      <c r="Z112" s="43">
        <v>4</v>
      </c>
      <c r="AA112" s="43">
        <v>5</v>
      </c>
      <c r="AB112" s="43">
        <v>4</v>
      </c>
      <c r="AC112" s="56">
        <v>36</v>
      </c>
      <c r="AD112" s="41">
        <v>8</v>
      </c>
      <c r="AE112" s="81">
        <v>0</v>
      </c>
      <c r="AF112" s="67">
        <v>1</v>
      </c>
      <c r="AG112" s="67">
        <v>0</v>
      </c>
      <c r="AH112" s="68">
        <v>6</v>
      </c>
      <c r="AI112" s="68">
        <v>7</v>
      </c>
    </row>
    <row r="113" spans="1:35" x14ac:dyDescent="0.4">
      <c r="A113" s="64" t="s">
        <v>93</v>
      </c>
      <c r="B113" s="69">
        <v>15</v>
      </c>
      <c r="C113" s="70">
        <v>30</v>
      </c>
      <c r="D113" s="69" t="s">
        <v>70</v>
      </c>
      <c r="E113" s="70"/>
      <c r="F113" s="70"/>
      <c r="G113" s="69" t="s">
        <v>88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v>0</v>
      </c>
      <c r="S113" s="66" t="s">
        <v>89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Z113" s="52">
        <v>0</v>
      </c>
      <c r="AA113" s="52">
        <v>0</v>
      </c>
      <c r="AB113" s="52">
        <v>0</v>
      </c>
      <c r="AC113" s="62">
        <v>0</v>
      </c>
      <c r="AD113" s="41"/>
      <c r="AE113" s="2"/>
      <c r="AH113" s="2"/>
    </row>
    <row r="114" spans="1:35" x14ac:dyDescent="0.4">
      <c r="A114" s="54"/>
      <c r="B114" s="55"/>
      <c r="C114" s="55"/>
      <c r="D114" s="55"/>
      <c r="E114" s="55"/>
      <c r="F114" s="55"/>
      <c r="G114" s="43" t="s">
        <v>90</v>
      </c>
      <c r="H114" s="43">
        <v>1</v>
      </c>
      <c r="I114" s="43">
        <v>1</v>
      </c>
      <c r="J114" s="43">
        <v>1</v>
      </c>
      <c r="K114" s="43">
        <v>1</v>
      </c>
      <c r="L114" s="43">
        <v>1</v>
      </c>
      <c r="M114" s="43">
        <v>0</v>
      </c>
      <c r="N114" s="43">
        <v>1</v>
      </c>
      <c r="O114" s="43">
        <v>1</v>
      </c>
      <c r="P114" s="43">
        <v>1</v>
      </c>
      <c r="Q114" s="56">
        <v>8</v>
      </c>
      <c r="S114" s="72" t="s">
        <v>91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5</v>
      </c>
      <c r="Z114" s="72">
        <v>0</v>
      </c>
      <c r="AA114" s="72">
        <v>0</v>
      </c>
      <c r="AB114" s="72">
        <v>0</v>
      </c>
      <c r="AC114" s="71">
        <v>5</v>
      </c>
      <c r="AD114" s="41"/>
      <c r="AE114" s="2"/>
      <c r="AH114" s="2"/>
    </row>
    <row r="115" spans="1:35" x14ac:dyDescent="0.4">
      <c r="A115" s="54"/>
      <c r="B115" s="55"/>
      <c r="C115" s="55"/>
      <c r="D115" s="55"/>
      <c r="E115" s="55"/>
      <c r="F115" s="55"/>
      <c r="G115" s="60" t="s">
        <v>92</v>
      </c>
      <c r="H115" s="61">
        <v>-1</v>
      </c>
      <c r="I115" s="61">
        <v>-1</v>
      </c>
      <c r="J115" s="61">
        <v>-1</v>
      </c>
      <c r="K115" s="61">
        <v>-1</v>
      </c>
      <c r="L115" s="61">
        <v>-1</v>
      </c>
      <c r="M115" s="61">
        <v>0</v>
      </c>
      <c r="N115" s="61">
        <v>-1</v>
      </c>
      <c r="O115" s="61">
        <v>-1</v>
      </c>
      <c r="P115" s="61">
        <v>-1</v>
      </c>
      <c r="Q115" s="62">
        <v>-8</v>
      </c>
      <c r="S115" s="63" t="s">
        <v>73</v>
      </c>
      <c r="T115" s="43">
        <v>4</v>
      </c>
      <c r="U115" s="43">
        <v>3</v>
      </c>
      <c r="V115" s="43">
        <v>4</v>
      </c>
      <c r="W115" s="43">
        <v>5</v>
      </c>
      <c r="X115" s="43">
        <v>4</v>
      </c>
      <c r="Y115" s="43">
        <v>3</v>
      </c>
      <c r="Z115" s="43">
        <v>4</v>
      </c>
      <c r="AA115" s="43">
        <v>5</v>
      </c>
      <c r="AB115" s="43">
        <v>4</v>
      </c>
      <c r="AC115" s="56">
        <v>36</v>
      </c>
      <c r="AD115" s="41"/>
      <c r="AE115" s="2"/>
      <c r="AH115" s="2"/>
    </row>
    <row r="116" spans="1:35" x14ac:dyDescent="0.4">
      <c r="A116" s="64" t="s">
        <v>101</v>
      </c>
      <c r="B116" s="69">
        <v>15</v>
      </c>
      <c r="C116" s="70">
        <v>29</v>
      </c>
      <c r="D116" s="69" t="s">
        <v>35</v>
      </c>
      <c r="E116" s="70"/>
      <c r="F116" s="70"/>
      <c r="G116" s="69" t="s">
        <v>88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v>0</v>
      </c>
      <c r="S116" s="66" t="s">
        <v>89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62">
        <v>0</v>
      </c>
      <c r="AD116" s="41"/>
      <c r="AE116" s="2"/>
      <c r="AH116" s="2"/>
    </row>
    <row r="117" spans="1:35" ht="15" thickBot="1" x14ac:dyDescent="0.45">
      <c r="A117" s="54"/>
      <c r="B117" s="55"/>
      <c r="C117" s="55"/>
      <c r="D117" s="55"/>
      <c r="E117" s="55"/>
      <c r="F117" s="55"/>
      <c r="G117" s="43" t="s">
        <v>90</v>
      </c>
      <c r="H117" s="43">
        <v>2</v>
      </c>
      <c r="I117" s="43">
        <v>2</v>
      </c>
      <c r="J117" s="43">
        <v>1</v>
      </c>
      <c r="K117" s="43">
        <v>1</v>
      </c>
      <c r="L117" s="43">
        <v>2</v>
      </c>
      <c r="M117" s="43">
        <v>1</v>
      </c>
      <c r="N117" s="43">
        <v>2</v>
      </c>
      <c r="O117" s="43">
        <v>1</v>
      </c>
      <c r="P117" s="43">
        <v>1</v>
      </c>
      <c r="Q117" s="56">
        <v>13</v>
      </c>
      <c r="S117" s="72" t="s">
        <v>91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1">
        <v>0</v>
      </c>
      <c r="AD117" s="41"/>
      <c r="AE117" s="2"/>
      <c r="AH117" s="2"/>
    </row>
    <row r="118" spans="1:35" ht="15" thickBot="1" x14ac:dyDescent="0.45">
      <c r="A118" s="73"/>
      <c r="B118" s="74"/>
      <c r="C118" s="74"/>
      <c r="D118" s="74"/>
      <c r="E118" s="74"/>
      <c r="F118" s="74"/>
      <c r="G118" s="75" t="s">
        <v>92</v>
      </c>
      <c r="H118" s="61">
        <v>-2</v>
      </c>
      <c r="I118" s="61">
        <v>-2</v>
      </c>
      <c r="J118" s="61">
        <v>-1</v>
      </c>
      <c r="K118" s="61">
        <v>-1</v>
      </c>
      <c r="L118" s="61">
        <v>-2</v>
      </c>
      <c r="M118" s="61">
        <v>-1</v>
      </c>
      <c r="N118" s="61">
        <v>-2</v>
      </c>
      <c r="O118" s="61">
        <v>-1</v>
      </c>
      <c r="P118" s="61">
        <v>-1</v>
      </c>
      <c r="Q118" s="76">
        <v>-13</v>
      </c>
      <c r="S118" s="63" t="s">
        <v>73</v>
      </c>
      <c r="T118" s="43">
        <v>4</v>
      </c>
      <c r="U118" s="43">
        <v>3</v>
      </c>
      <c r="V118" s="43">
        <v>4</v>
      </c>
      <c r="W118" s="43">
        <v>5</v>
      </c>
      <c r="X118" s="43">
        <v>4</v>
      </c>
      <c r="Y118" s="43">
        <v>3</v>
      </c>
      <c r="Z118" s="43">
        <v>4</v>
      </c>
      <c r="AA118" s="43">
        <v>5</v>
      </c>
      <c r="AB118" s="43">
        <v>4</v>
      </c>
      <c r="AC118" s="78">
        <v>36</v>
      </c>
      <c r="AD118" s="41">
        <v>15</v>
      </c>
      <c r="AE118" s="79">
        <v>5</v>
      </c>
      <c r="AF118" s="79">
        <v>3</v>
      </c>
      <c r="AG118" s="79">
        <v>4</v>
      </c>
      <c r="AH118" s="80">
        <v>8</v>
      </c>
      <c r="AI118" s="80">
        <v>15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45">
      <c r="A120" s="43" t="s">
        <v>81</v>
      </c>
      <c r="B120" s="43" t="s">
        <v>0</v>
      </c>
      <c r="C120" s="43" t="s">
        <v>6</v>
      </c>
      <c r="D120" s="43" t="s">
        <v>83</v>
      </c>
      <c r="E120" s="43" t="s">
        <v>84</v>
      </c>
      <c r="F120" s="43" t="s">
        <v>85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86</v>
      </c>
      <c r="S120" s="44" t="s">
        <v>87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4">
      <c r="A121" s="47">
        <v>2</v>
      </c>
      <c r="B121" s="48">
        <v>1</v>
      </c>
      <c r="C121" s="49">
        <v>2</v>
      </c>
      <c r="D121" s="48" t="s">
        <v>10</v>
      </c>
      <c r="E121" s="49"/>
      <c r="F121" s="49"/>
      <c r="G121" s="48" t="s">
        <v>88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v>0</v>
      </c>
      <c r="S121" s="51" t="s">
        <v>89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Z121" s="52">
        <v>0</v>
      </c>
      <c r="AA121" s="52">
        <v>0</v>
      </c>
      <c r="AB121" s="52">
        <v>0</v>
      </c>
      <c r="AC121" s="53">
        <v>0</v>
      </c>
      <c r="AD121" s="41"/>
      <c r="AE121" s="2"/>
      <c r="AH121" s="2"/>
    </row>
    <row r="122" spans="1:35" x14ac:dyDescent="0.4">
      <c r="A122" s="54"/>
      <c r="B122" s="55"/>
      <c r="C122" s="55"/>
      <c r="D122" s="55"/>
      <c r="E122" s="55"/>
      <c r="F122" s="55"/>
      <c r="G122" s="43" t="s">
        <v>90</v>
      </c>
      <c r="H122" s="43">
        <v>1</v>
      </c>
      <c r="I122" s="43">
        <v>1</v>
      </c>
      <c r="J122" s="43">
        <v>0</v>
      </c>
      <c r="K122" s="43">
        <v>0</v>
      </c>
      <c r="L122" s="43">
        <v>1</v>
      </c>
      <c r="M122" s="43">
        <v>0</v>
      </c>
      <c r="N122" s="43">
        <v>1</v>
      </c>
      <c r="O122" s="43">
        <v>0</v>
      </c>
      <c r="P122" s="43">
        <v>1</v>
      </c>
      <c r="Q122" s="56">
        <v>5</v>
      </c>
      <c r="S122" s="57" t="s">
        <v>91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58">
        <v>5</v>
      </c>
      <c r="Z122" s="58">
        <v>0</v>
      </c>
      <c r="AA122" s="58">
        <v>0</v>
      </c>
      <c r="AB122" s="58">
        <v>0</v>
      </c>
      <c r="AC122" s="59">
        <v>5</v>
      </c>
      <c r="AD122" s="41"/>
      <c r="AE122" s="2"/>
      <c r="AH122" s="2"/>
    </row>
    <row r="123" spans="1:35" ht="15" thickBot="1" x14ac:dyDescent="0.45">
      <c r="A123" s="54"/>
      <c r="B123" s="55"/>
      <c r="C123" s="55"/>
      <c r="D123" s="55"/>
      <c r="E123" s="55"/>
      <c r="F123" s="55"/>
      <c r="G123" s="60" t="s">
        <v>92</v>
      </c>
      <c r="H123" s="61">
        <v>-1</v>
      </c>
      <c r="I123" s="61">
        <v>-1</v>
      </c>
      <c r="J123" s="61">
        <v>0</v>
      </c>
      <c r="K123" s="61">
        <v>0</v>
      </c>
      <c r="L123" s="61">
        <v>-1</v>
      </c>
      <c r="M123" s="61">
        <v>0</v>
      </c>
      <c r="N123" s="61">
        <v>-1</v>
      </c>
      <c r="O123" s="61">
        <v>0</v>
      </c>
      <c r="P123" s="61">
        <v>-1</v>
      </c>
      <c r="Q123" s="62">
        <v>-5</v>
      </c>
      <c r="S123" s="63" t="s">
        <v>73</v>
      </c>
      <c r="T123" s="43">
        <v>4</v>
      </c>
      <c r="U123" s="43">
        <v>3</v>
      </c>
      <c r="V123" s="43">
        <v>4</v>
      </c>
      <c r="W123" s="43">
        <v>5</v>
      </c>
      <c r="X123" s="43">
        <v>4</v>
      </c>
      <c r="Y123" s="43">
        <v>3</v>
      </c>
      <c r="Z123" s="43">
        <v>4</v>
      </c>
      <c r="AA123" s="43">
        <v>5</v>
      </c>
      <c r="AB123" s="43">
        <v>4</v>
      </c>
      <c r="AC123" s="56">
        <v>36</v>
      </c>
      <c r="AD123" s="41"/>
      <c r="AE123" s="2"/>
      <c r="AH123" s="2"/>
    </row>
    <row r="124" spans="1:35" x14ac:dyDescent="0.4">
      <c r="A124" s="64" t="s">
        <v>73</v>
      </c>
      <c r="B124" s="58">
        <v>1</v>
      </c>
      <c r="C124" s="65">
        <v>1</v>
      </c>
      <c r="D124" s="48" t="s">
        <v>9</v>
      </c>
      <c r="E124" s="65"/>
      <c r="F124" s="65"/>
      <c r="G124" s="58" t="s">
        <v>88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v>0</v>
      </c>
      <c r="S124" s="66" t="s">
        <v>89</v>
      </c>
      <c r="T124" s="52">
        <v>0</v>
      </c>
      <c r="U124" s="52">
        <v>0</v>
      </c>
      <c r="V124" s="52">
        <v>0</v>
      </c>
      <c r="W124" s="52">
        <v>0</v>
      </c>
      <c r="X124" s="52">
        <v>0</v>
      </c>
      <c r="Y124" s="52">
        <v>0</v>
      </c>
      <c r="Z124" s="52">
        <v>0</v>
      </c>
      <c r="AA124" s="52">
        <v>0</v>
      </c>
      <c r="AB124" s="52">
        <v>0</v>
      </c>
      <c r="AC124" s="62">
        <v>0</v>
      </c>
      <c r="AD124" s="41"/>
      <c r="AE124" s="2"/>
      <c r="AH124" s="2"/>
    </row>
    <row r="125" spans="1:35" ht="15" thickBot="1" x14ac:dyDescent="0.45">
      <c r="A125" s="54"/>
      <c r="B125" s="55"/>
      <c r="C125" s="55"/>
      <c r="D125" s="55"/>
      <c r="E125" s="55"/>
      <c r="F125" s="55"/>
      <c r="G125" s="43" t="s">
        <v>90</v>
      </c>
      <c r="H125" s="43">
        <v>1</v>
      </c>
      <c r="I125" s="43">
        <v>1</v>
      </c>
      <c r="J125" s="43">
        <v>0</v>
      </c>
      <c r="K125" s="43">
        <v>0</v>
      </c>
      <c r="L125" s="43">
        <v>1</v>
      </c>
      <c r="M125" s="43">
        <v>0</v>
      </c>
      <c r="N125" s="43">
        <v>1</v>
      </c>
      <c r="O125" s="43">
        <v>1</v>
      </c>
      <c r="P125" s="43">
        <v>1</v>
      </c>
      <c r="Q125" s="56">
        <v>6</v>
      </c>
      <c r="S125" s="57" t="s">
        <v>91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5</v>
      </c>
      <c r="Z125" s="58">
        <v>0</v>
      </c>
      <c r="AA125" s="58">
        <v>0</v>
      </c>
      <c r="AB125" s="58">
        <v>0</v>
      </c>
      <c r="AC125" s="59">
        <v>5</v>
      </c>
      <c r="AD125" s="41"/>
      <c r="AE125" s="2"/>
      <c r="AH125" s="2"/>
    </row>
    <row r="126" spans="1:35" ht="15" thickBot="1" x14ac:dyDescent="0.45">
      <c r="A126" s="54"/>
      <c r="B126" s="55"/>
      <c r="C126" s="55"/>
      <c r="D126" s="55"/>
      <c r="E126" s="55"/>
      <c r="F126" s="55"/>
      <c r="G126" s="60" t="s">
        <v>92</v>
      </c>
      <c r="H126" s="61">
        <v>-1</v>
      </c>
      <c r="I126" s="61">
        <v>-1</v>
      </c>
      <c r="J126" s="61">
        <v>0</v>
      </c>
      <c r="K126" s="61">
        <v>0</v>
      </c>
      <c r="L126" s="61">
        <v>-1</v>
      </c>
      <c r="M126" s="61">
        <v>0</v>
      </c>
      <c r="N126" s="61">
        <v>-1</v>
      </c>
      <c r="O126" s="61">
        <v>-1</v>
      </c>
      <c r="P126" s="61">
        <v>-1</v>
      </c>
      <c r="Q126" s="62">
        <v>-6</v>
      </c>
      <c r="S126" s="63" t="s">
        <v>73</v>
      </c>
      <c r="T126" s="43">
        <v>4</v>
      </c>
      <c r="U126" s="43">
        <v>3</v>
      </c>
      <c r="V126" s="43">
        <v>4</v>
      </c>
      <c r="W126" s="43">
        <v>5</v>
      </c>
      <c r="X126" s="43">
        <v>4</v>
      </c>
      <c r="Y126" s="43">
        <v>3</v>
      </c>
      <c r="Z126" s="43">
        <v>4</v>
      </c>
      <c r="AA126" s="43">
        <v>5</v>
      </c>
      <c r="AB126" s="43">
        <v>4</v>
      </c>
      <c r="AC126" s="56">
        <v>36</v>
      </c>
      <c r="AD126" s="41">
        <v>1</v>
      </c>
      <c r="AE126" s="81">
        <v>10</v>
      </c>
      <c r="AF126" s="67">
        <v>4</v>
      </c>
      <c r="AG126" s="67">
        <v>4</v>
      </c>
      <c r="AH126" s="68">
        <v>8</v>
      </c>
      <c r="AI126" s="68">
        <v>16</v>
      </c>
    </row>
    <row r="127" spans="1:35" x14ac:dyDescent="0.4">
      <c r="A127" s="64" t="s">
        <v>93</v>
      </c>
      <c r="B127" s="69">
        <v>17</v>
      </c>
      <c r="C127" s="70">
        <v>34</v>
      </c>
      <c r="D127" s="69" t="s">
        <v>32</v>
      </c>
      <c r="E127" s="70"/>
      <c r="F127" s="70"/>
      <c r="G127" s="69" t="s">
        <v>88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v>0</v>
      </c>
      <c r="S127" s="66" t="s">
        <v>89</v>
      </c>
      <c r="T127" s="52">
        <v>0</v>
      </c>
      <c r="U127" s="52">
        <v>0</v>
      </c>
      <c r="V127" s="52">
        <v>0</v>
      </c>
      <c r="W127" s="52">
        <v>0</v>
      </c>
      <c r="X127" s="52">
        <v>0</v>
      </c>
      <c r="Y127" s="52">
        <v>0</v>
      </c>
      <c r="Z127" s="52">
        <v>0</v>
      </c>
      <c r="AA127" s="52">
        <v>0</v>
      </c>
      <c r="AB127" s="52">
        <v>0</v>
      </c>
      <c r="AC127" s="62">
        <v>0</v>
      </c>
      <c r="AD127" s="41"/>
      <c r="AE127" s="2"/>
      <c r="AH127" s="2"/>
    </row>
    <row r="128" spans="1:35" x14ac:dyDescent="0.4">
      <c r="A128" s="54"/>
      <c r="B128" s="55"/>
      <c r="C128" s="55"/>
      <c r="D128" s="55"/>
      <c r="E128" s="55"/>
      <c r="F128" s="55"/>
      <c r="G128" s="43" t="s">
        <v>90</v>
      </c>
      <c r="H128" s="43">
        <v>2</v>
      </c>
      <c r="I128" s="43">
        <v>1</v>
      </c>
      <c r="J128" s="43">
        <v>1</v>
      </c>
      <c r="K128" s="43">
        <v>1</v>
      </c>
      <c r="L128" s="43">
        <v>1</v>
      </c>
      <c r="M128" s="43">
        <v>1</v>
      </c>
      <c r="N128" s="43">
        <v>1</v>
      </c>
      <c r="O128" s="43">
        <v>1</v>
      </c>
      <c r="P128" s="43">
        <v>1</v>
      </c>
      <c r="Q128" s="56">
        <v>10</v>
      </c>
      <c r="S128" s="72" t="s">
        <v>91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1">
        <v>0</v>
      </c>
      <c r="AD128" s="41"/>
      <c r="AE128" s="2"/>
      <c r="AH128" s="2"/>
    </row>
    <row r="129" spans="1:35" x14ac:dyDescent="0.4">
      <c r="A129" s="54"/>
      <c r="B129" s="55"/>
      <c r="C129" s="55"/>
      <c r="D129" s="55"/>
      <c r="E129" s="55"/>
      <c r="F129" s="55"/>
      <c r="G129" s="60" t="s">
        <v>92</v>
      </c>
      <c r="H129" s="61">
        <v>-2</v>
      </c>
      <c r="I129" s="61">
        <v>-1</v>
      </c>
      <c r="J129" s="61">
        <v>-1</v>
      </c>
      <c r="K129" s="61">
        <v>-1</v>
      </c>
      <c r="L129" s="61">
        <v>-1</v>
      </c>
      <c r="M129" s="61">
        <v>-1</v>
      </c>
      <c r="N129" s="61">
        <v>-1</v>
      </c>
      <c r="O129" s="61">
        <v>-1</v>
      </c>
      <c r="P129" s="61">
        <v>-1</v>
      </c>
      <c r="Q129" s="62">
        <v>-10</v>
      </c>
      <c r="S129" s="63" t="s">
        <v>73</v>
      </c>
      <c r="T129" s="43">
        <v>4</v>
      </c>
      <c r="U129" s="43">
        <v>3</v>
      </c>
      <c r="V129" s="43">
        <v>4</v>
      </c>
      <c r="W129" s="43">
        <v>5</v>
      </c>
      <c r="X129" s="43">
        <v>4</v>
      </c>
      <c r="Y129" s="43">
        <v>3</v>
      </c>
      <c r="Z129" s="43">
        <v>4</v>
      </c>
      <c r="AA129" s="43">
        <v>5</v>
      </c>
      <c r="AB129" s="43">
        <v>4</v>
      </c>
      <c r="AC129" s="56">
        <v>36</v>
      </c>
      <c r="AD129" s="41"/>
      <c r="AE129" s="2"/>
      <c r="AH129" s="2"/>
    </row>
    <row r="130" spans="1:35" x14ac:dyDescent="0.4">
      <c r="A130" s="64" t="s">
        <v>102</v>
      </c>
      <c r="B130" s="69">
        <v>17</v>
      </c>
      <c r="C130" s="70">
        <v>33</v>
      </c>
      <c r="D130" s="69" t="s">
        <v>31</v>
      </c>
      <c r="E130" s="70"/>
      <c r="F130" s="70"/>
      <c r="G130" s="69" t="s">
        <v>88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v>0</v>
      </c>
      <c r="S130" s="66" t="s">
        <v>89</v>
      </c>
      <c r="T130" s="52">
        <v>0</v>
      </c>
      <c r="U130" s="52">
        <v>0</v>
      </c>
      <c r="V130" s="52">
        <v>0</v>
      </c>
      <c r="W130" s="52">
        <v>0</v>
      </c>
      <c r="X130" s="52">
        <v>0</v>
      </c>
      <c r="Y130" s="52">
        <v>0</v>
      </c>
      <c r="Z130" s="52">
        <v>0</v>
      </c>
      <c r="AA130" s="52">
        <v>0</v>
      </c>
      <c r="AB130" s="52">
        <v>0</v>
      </c>
      <c r="AC130" s="62">
        <v>0</v>
      </c>
      <c r="AD130" s="41"/>
      <c r="AE130" s="2"/>
      <c r="AH130" s="2"/>
    </row>
    <row r="131" spans="1:35" ht="15" thickBot="1" x14ac:dyDescent="0.45">
      <c r="A131" s="54"/>
      <c r="B131" s="55"/>
      <c r="C131" s="55"/>
      <c r="D131" s="55"/>
      <c r="E131" s="55"/>
      <c r="F131" s="55"/>
      <c r="G131" s="43" t="s">
        <v>90</v>
      </c>
      <c r="H131" s="43">
        <v>2</v>
      </c>
      <c r="I131" s="43">
        <v>1</v>
      </c>
      <c r="J131" s="43">
        <v>1</v>
      </c>
      <c r="K131" s="43">
        <v>1</v>
      </c>
      <c r="L131" s="43">
        <v>1</v>
      </c>
      <c r="M131" s="43">
        <v>1</v>
      </c>
      <c r="N131" s="43">
        <v>2</v>
      </c>
      <c r="O131" s="43">
        <v>1</v>
      </c>
      <c r="P131" s="43">
        <v>1</v>
      </c>
      <c r="Q131" s="56">
        <v>11</v>
      </c>
      <c r="S131" s="72" t="s">
        <v>91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1">
        <v>0</v>
      </c>
      <c r="AD131" s="41"/>
      <c r="AE131" s="2"/>
      <c r="AH131" s="2"/>
    </row>
    <row r="132" spans="1:35" ht="15" thickBot="1" x14ac:dyDescent="0.45">
      <c r="A132" s="73"/>
      <c r="B132" s="74"/>
      <c r="C132" s="74"/>
      <c r="D132" s="74"/>
      <c r="E132" s="74"/>
      <c r="F132" s="74"/>
      <c r="G132" s="75" t="s">
        <v>92</v>
      </c>
      <c r="H132" s="61">
        <v>-2</v>
      </c>
      <c r="I132" s="61">
        <v>-1</v>
      </c>
      <c r="J132" s="61">
        <v>-1</v>
      </c>
      <c r="K132" s="61">
        <v>-1</v>
      </c>
      <c r="L132" s="61">
        <v>-1</v>
      </c>
      <c r="M132" s="61">
        <v>-1</v>
      </c>
      <c r="N132" s="61">
        <v>-2</v>
      </c>
      <c r="O132" s="61">
        <v>-1</v>
      </c>
      <c r="P132" s="61">
        <v>-1</v>
      </c>
      <c r="Q132" s="76">
        <v>-11</v>
      </c>
      <c r="S132" s="63" t="s">
        <v>73</v>
      </c>
      <c r="T132" s="43">
        <v>4</v>
      </c>
      <c r="U132" s="43">
        <v>3</v>
      </c>
      <c r="V132" s="43">
        <v>4</v>
      </c>
      <c r="W132" s="43">
        <v>5</v>
      </c>
      <c r="X132" s="43">
        <v>4</v>
      </c>
      <c r="Y132" s="43">
        <v>3</v>
      </c>
      <c r="Z132" s="43">
        <v>4</v>
      </c>
      <c r="AA132" s="43">
        <v>5</v>
      </c>
      <c r="AB132" s="43">
        <v>4</v>
      </c>
      <c r="AC132" s="78">
        <v>36</v>
      </c>
      <c r="AD132" s="41">
        <v>17</v>
      </c>
      <c r="AE132" s="79">
        <v>0</v>
      </c>
      <c r="AF132" s="79">
        <v>0</v>
      </c>
      <c r="AG132" s="79">
        <v>0</v>
      </c>
      <c r="AH132" s="80">
        <v>6</v>
      </c>
      <c r="AI132" s="80">
        <v>6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5"/>
      <c r="T140" s="2"/>
      <c r="U140" s="2"/>
      <c r="V140" s="2"/>
    </row>
    <row r="141" spans="1:35" x14ac:dyDescent="0.4">
      <c r="H141" s="2"/>
      <c r="K141" s="85"/>
      <c r="T141" s="2"/>
      <c r="U141" s="2"/>
      <c r="V141" s="2"/>
      <c r="AF141" s="2" t="s">
        <v>103</v>
      </c>
    </row>
    <row r="142" spans="1:35" x14ac:dyDescent="0.4">
      <c r="H142" s="2"/>
      <c r="K142" s="85"/>
      <c r="T142" s="2"/>
      <c r="U142" s="2"/>
      <c r="V142" s="2"/>
      <c r="AI142" s="1" t="s">
        <v>103</v>
      </c>
    </row>
    <row r="143" spans="1:35" x14ac:dyDescent="0.4">
      <c r="H143" s="2"/>
      <c r="K143" s="85"/>
      <c r="T143" s="2"/>
      <c r="U143" s="2"/>
      <c r="V143" s="2"/>
    </row>
    <row r="144" spans="1:35" x14ac:dyDescent="0.4">
      <c r="H144" s="2"/>
      <c r="K144" s="85"/>
      <c r="T144" s="2"/>
      <c r="U144" s="2"/>
      <c r="V144" s="2"/>
      <c r="AI144" s="1" t="s">
        <v>103</v>
      </c>
    </row>
    <row r="145" spans="8:22" x14ac:dyDescent="0.4">
      <c r="H145" s="2"/>
      <c r="K145" s="85"/>
      <c r="T145" s="2"/>
      <c r="U145" s="2"/>
      <c r="V145" s="2"/>
    </row>
    <row r="146" spans="8:22" x14ac:dyDescent="0.4">
      <c r="H146" s="2"/>
      <c r="K146" s="85"/>
      <c r="T146" s="2"/>
      <c r="U146" s="2"/>
      <c r="V146" s="2"/>
    </row>
    <row r="147" spans="8:22" x14ac:dyDescent="0.4">
      <c r="H147" s="2"/>
      <c r="K147" s="85"/>
      <c r="T147" s="2"/>
      <c r="U147" s="2"/>
      <c r="V147" s="2"/>
    </row>
    <row r="148" spans="8:22" x14ac:dyDescent="0.4">
      <c r="H148" s="2"/>
      <c r="K148" s="85"/>
      <c r="T148" s="2"/>
      <c r="U148" s="2"/>
      <c r="V148" s="2"/>
    </row>
    <row r="149" spans="8:22" x14ac:dyDescent="0.4">
      <c r="H149" s="2"/>
      <c r="K149" s="85"/>
      <c r="T149" s="2"/>
      <c r="U149" s="2"/>
      <c r="V149" s="2"/>
    </row>
    <row r="150" spans="8:22" x14ac:dyDescent="0.4">
      <c r="H150" s="2"/>
      <c r="K150" s="85"/>
      <c r="T150" s="2"/>
      <c r="U150" s="2"/>
      <c r="V150" s="2"/>
    </row>
    <row r="151" spans="8:22" x14ac:dyDescent="0.4">
      <c r="H151" s="2"/>
      <c r="K151" s="85"/>
      <c r="T151" s="2"/>
      <c r="U151" s="2"/>
      <c r="V151" s="2"/>
    </row>
    <row r="152" spans="8:22" x14ac:dyDescent="0.4">
      <c r="H152" s="2"/>
      <c r="K152" s="85"/>
      <c r="T152" s="2"/>
      <c r="U152" s="2"/>
      <c r="V152" s="2"/>
    </row>
    <row r="153" spans="8:22" x14ac:dyDescent="0.4">
      <c r="H153" s="2"/>
      <c r="K153" s="85"/>
      <c r="T153" s="2"/>
      <c r="U153" s="2"/>
      <c r="V153" s="2"/>
    </row>
    <row r="154" spans="8:22" x14ac:dyDescent="0.4">
      <c r="H154" s="2"/>
      <c r="K154" s="85"/>
      <c r="T154" s="2"/>
      <c r="U154" s="2"/>
      <c r="V154" s="2"/>
    </row>
    <row r="155" spans="8:22" x14ac:dyDescent="0.4">
      <c r="H155" s="2"/>
      <c r="K155" s="85"/>
      <c r="T155" s="2"/>
      <c r="U155" s="2"/>
      <c r="V155" s="2"/>
    </row>
    <row r="156" spans="8:22" x14ac:dyDescent="0.4">
      <c r="H156" s="2"/>
      <c r="K156" s="85"/>
      <c r="T156" s="2"/>
      <c r="U156" s="2"/>
      <c r="V156" s="2"/>
    </row>
    <row r="157" spans="8:22" x14ac:dyDescent="0.4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C21 C35 C49 C63 C77 C91 C105 C119">
    <cfRule type="cellIs" dxfId="6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1]!'WeeksScoringTasks(&quot;Week5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F71B-FE87-484D-B269-D17CF933D6D6}">
  <dimension ref="A1:AL157"/>
  <sheetViews>
    <sheetView tabSelected="1"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3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45">
      <c r="A2" s="87" t="s">
        <v>74</v>
      </c>
      <c r="B2" s="87"/>
      <c r="C2" s="2">
        <v>6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45">
      <c r="A4" s="2"/>
      <c r="B4" s="2"/>
      <c r="C4" s="2"/>
      <c r="D4" s="2"/>
      <c r="E4" s="2"/>
      <c r="F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38" x14ac:dyDescent="0.4">
      <c r="A5" s="2"/>
      <c r="B5" s="2"/>
      <c r="C5" s="2"/>
      <c r="D5" s="2"/>
      <c r="E5" s="2"/>
      <c r="F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38" ht="14.25" customHeight="1" x14ac:dyDescent="0.4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2"/>
      <c r="T7" s="88"/>
      <c r="U7" s="88"/>
      <c r="V7" s="88"/>
      <c r="W7" s="88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3" t="s">
        <v>81</v>
      </c>
      <c r="B8" s="43" t="s">
        <v>0</v>
      </c>
      <c r="C8" s="43" t="s">
        <v>6</v>
      </c>
      <c r="D8" s="43" t="s">
        <v>83</v>
      </c>
      <c r="E8" s="43" t="s">
        <v>84</v>
      </c>
      <c r="F8" s="43" t="s">
        <v>85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86</v>
      </c>
      <c r="S8" s="44" t="s">
        <v>87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J8" s="2"/>
      <c r="AK8" s="27"/>
      <c r="AL8" s="27"/>
    </row>
    <row r="9" spans="1:38" x14ac:dyDescent="0.4">
      <c r="A9" s="47">
        <v>1</v>
      </c>
      <c r="B9" s="48">
        <v>4</v>
      </c>
      <c r="C9" s="49">
        <v>8</v>
      </c>
      <c r="D9" s="48" t="str">
        <f>VLOOKUP($C9,[1]Summary!$A$4:$D$39,4, FALSE)</f>
        <v>Scott MacKenzie</v>
      </c>
      <c r="E9" s="49"/>
      <c r="F9" s="49"/>
      <c r="G9" s="48" t="s">
        <v>88</v>
      </c>
      <c r="H9" s="49"/>
      <c r="I9" s="49"/>
      <c r="J9" s="49"/>
      <c r="K9" s="49"/>
      <c r="L9" s="49"/>
      <c r="M9" s="49"/>
      <c r="N9" s="49"/>
      <c r="O9" s="49"/>
      <c r="P9" s="49"/>
      <c r="Q9" s="50">
        <f>SUM(H9:P9)</f>
        <v>0</v>
      </c>
      <c r="S9" s="51" t="s">
        <v>89</v>
      </c>
      <c r="T9" s="52">
        <f t="shared" ref="T9:AB9" si="0">IF(H9&gt;=T11+H10+2,SUM(T11+H10+2),H9)</f>
        <v>0</v>
      </c>
      <c r="U9" s="52">
        <f t="shared" si="0"/>
        <v>0</v>
      </c>
      <c r="V9" s="52">
        <f t="shared" si="0"/>
        <v>0</v>
      </c>
      <c r="W9" s="52">
        <f t="shared" si="0"/>
        <v>0</v>
      </c>
      <c r="X9" s="52">
        <f t="shared" si="0"/>
        <v>0</v>
      </c>
      <c r="Y9" s="52">
        <f t="shared" si="0"/>
        <v>0</v>
      </c>
      <c r="Z9" s="52">
        <f t="shared" si="0"/>
        <v>0</v>
      </c>
      <c r="AA9" s="52">
        <f t="shared" si="0"/>
        <v>0</v>
      </c>
      <c r="AB9" s="52">
        <f t="shared" si="0"/>
        <v>0</v>
      </c>
      <c r="AC9" s="53">
        <f>SUM(T9:AB9)</f>
        <v>0</v>
      </c>
      <c r="AD9" s="41"/>
      <c r="AE9" s="2"/>
      <c r="AH9" s="2"/>
    </row>
    <row r="10" spans="1:38" x14ac:dyDescent="0.4">
      <c r="A10" s="54"/>
      <c r="B10" s="55"/>
      <c r="C10" s="55"/>
      <c r="D10" s="55"/>
      <c r="E10" s="55"/>
      <c r="F10" s="55"/>
      <c r="G10" s="43" t="s">
        <v>90</v>
      </c>
      <c r="H10" s="43">
        <f>IF($A$12="Front",VLOOKUP($Q10,'[1]Handicap Chart'!$B$4:$K$40,2),VLOOKUP($Q10,'[1]Handicap Chart'!$B$4:$K$40,10))</f>
        <v>2</v>
      </c>
      <c r="I10" s="43">
        <f>IF($A$12="Front",VLOOKUP($Q10,'[1]Handicap Chart'!$B$4:$K$40,4),VLOOKUP($Q10,'[1]Handicap Chart'!$B$4:$K$40,3))</f>
        <v>2</v>
      </c>
      <c r="J10" s="43">
        <f>IF($A$12="Front",VLOOKUP($Q10,'[1]Handicap Chart'!$B$4:$K$40,8),VLOOKUP($Q10,'[1]Handicap Chart'!$B$4:$K$40,6))</f>
        <v>1</v>
      </c>
      <c r="K10" s="43">
        <f>IF($A$12="Front",VLOOKUP($Q10,'[1]Handicap Chart'!$B$4:$K$40,9),VLOOKUP($Q10,'[1]Handicap Chart'!$B$4:$K$40,5))</f>
        <v>1</v>
      </c>
      <c r="L10" s="43">
        <f>IF($A$12="Front",VLOOKUP($Q10,'[1]Handicap Chart'!$B$4:$K$40,5),VLOOKUP($Q10,'[1]Handicap Chart'!$B$4:$K$40,4))</f>
        <v>1</v>
      </c>
      <c r="M10" s="43">
        <f>IF($A$12="Front",VLOOKUP($Q10,'[1]Handicap Chart'!$B$4:$K$40,10),VLOOKUP($Q10,'[1]Handicap Chart'!$B$4:$K$40,9))</f>
        <v>1</v>
      </c>
      <c r="N10" s="43">
        <f>IF($A$12="Front",VLOOKUP($Q10,'[1]Handicap Chart'!$B$4:$K$40,3),VLOOKUP($Q10,'[1]Handicap Chart'!$B$4:$K$40,7))</f>
        <v>2</v>
      </c>
      <c r="O10" s="43">
        <f>IF($A$12="Front",VLOOKUP($Q10,'[1]Handicap Chart'!$B$4:$K$40,7),VLOOKUP($Q10,'[1]Handicap Chart'!$B$4:$K$40,8))</f>
        <v>1</v>
      </c>
      <c r="P10" s="43">
        <f>IF($A$12="Front",VLOOKUP($Q10,'[1]Handicap Chart'!$B$4:$K$40,6),VLOOKUP($Q10,'[1]Handicap Chart'!$B$4:$K$40,2))</f>
        <v>1</v>
      </c>
      <c r="Q10" s="56">
        <f>VLOOKUP($C9,[1]Summary!$A$4:$BL$39,50, FALSE)</f>
        <v>12</v>
      </c>
      <c r="S10" s="57" t="s">
        <v>91</v>
      </c>
      <c r="T10" s="58">
        <f>IF(OR(EXACT($E9,"Y"),(EXACT($F9,"Y"))),"-",IF(H11-T11&gt;1,-1,IF(H11-T11=0,1,IF(H11-T11=-1,3,IF(H11-T11=-2,4,IF(H11-T11=-3,5,0))))))</f>
        <v>0</v>
      </c>
      <c r="U10" s="58">
        <f t="shared" ref="U10:AB10" si="1">IF(OR(EXACT($E9,"Y"),(EXACT($F9,"Y"))),"-",IF(I11-U11&gt;1,-1,IF(I11-U11=0,1,IF(I11-U11=-1,3,IF(I11-U11=-2,4,IF(I11-U11=-3,5,0))))))</f>
        <v>0</v>
      </c>
      <c r="V10" s="58">
        <f t="shared" si="1"/>
        <v>0</v>
      </c>
      <c r="W10" s="58">
        <f t="shared" si="1"/>
        <v>0</v>
      </c>
      <c r="X10" s="58">
        <f>IF(OR(EXACT($E9,"Y"),(EXACT($F9,"Y"))),"-",IF(L11-X11&gt;1,-1,IF(L11-X11=0,1,IF(L11-X11=-1,3,IF(L11-X11=-2,4,IF(L11-X11=-3,5,0))))))</f>
        <v>0</v>
      </c>
      <c r="Y10" s="58">
        <f>IF(OR(EXACT($E9,"Y"),(EXACT($F9,"Y"))),"-",IF(M11-Y11&gt;1,-1,IF(M11-Y11=0,1,IF(M11-Y11=-1,3,IF(M11-Y11=-2,4,IF(M11-Y11=-3,5,0))))))</f>
        <v>0</v>
      </c>
      <c r="Z10" s="58">
        <f t="shared" si="1"/>
        <v>0</v>
      </c>
      <c r="AA10" s="58">
        <f t="shared" si="1"/>
        <v>0</v>
      </c>
      <c r="AB10" s="58">
        <f t="shared" si="1"/>
        <v>0</v>
      </c>
      <c r="AC10" s="59">
        <f>IF(EXACT(E9,"Y"),6,IF(EXACT(F9,"Y"),2,SUM(T10:AB10)))</f>
        <v>0</v>
      </c>
      <c r="AD10" s="41"/>
      <c r="AE10" s="2"/>
      <c r="AH10" s="2"/>
    </row>
    <row r="11" spans="1:38" ht="15" thickBot="1" x14ac:dyDescent="0.45">
      <c r="A11" s="54"/>
      <c r="B11" s="55"/>
      <c r="C11" s="55"/>
      <c r="D11" s="55"/>
      <c r="E11" s="55"/>
      <c r="F11" s="55"/>
      <c r="G11" s="60" t="s">
        <v>92</v>
      </c>
      <c r="H11" s="61">
        <f t="shared" ref="H11:P11" si="2">IF(OR(EXACT($E9,"Y"),(EXACT($F9,"Y"))),"-",H9-H10)</f>
        <v>-2</v>
      </c>
      <c r="I11" s="61">
        <f t="shared" si="2"/>
        <v>-2</v>
      </c>
      <c r="J11" s="61">
        <f t="shared" si="2"/>
        <v>-1</v>
      </c>
      <c r="K11" s="61">
        <f t="shared" si="2"/>
        <v>-1</v>
      </c>
      <c r="L11" s="61">
        <f t="shared" si="2"/>
        <v>-1</v>
      </c>
      <c r="M11" s="61">
        <f t="shared" si="2"/>
        <v>-1</v>
      </c>
      <c r="N11" s="61">
        <f t="shared" si="2"/>
        <v>-2</v>
      </c>
      <c r="O11" s="61">
        <f t="shared" si="2"/>
        <v>-1</v>
      </c>
      <c r="P11" s="61">
        <f t="shared" si="2"/>
        <v>-1</v>
      </c>
      <c r="Q11" s="62">
        <f>SUM(H11:P11)</f>
        <v>-12</v>
      </c>
      <c r="S11" s="63" t="str">
        <f>$A$12</f>
        <v>Front</v>
      </c>
      <c r="T11" s="43">
        <f t="shared" ref="T11:AB11" si="3">IF($A$12="Front",T$1,T$2)</f>
        <v>4</v>
      </c>
      <c r="U11" s="43">
        <f t="shared" si="3"/>
        <v>3</v>
      </c>
      <c r="V11" s="43">
        <f t="shared" si="3"/>
        <v>4</v>
      </c>
      <c r="W11" s="43">
        <f t="shared" si="3"/>
        <v>5</v>
      </c>
      <c r="X11" s="43">
        <f t="shared" si="3"/>
        <v>4</v>
      </c>
      <c r="Y11" s="43">
        <f t="shared" si="3"/>
        <v>3</v>
      </c>
      <c r="Z11" s="43">
        <f t="shared" si="3"/>
        <v>4</v>
      </c>
      <c r="AA11" s="43">
        <f t="shared" si="3"/>
        <v>5</v>
      </c>
      <c r="AB11" s="43">
        <f t="shared" si="3"/>
        <v>4</v>
      </c>
      <c r="AC11" s="56">
        <f>SUM(T11:AB11)</f>
        <v>36</v>
      </c>
      <c r="AD11" s="41"/>
      <c r="AE11" s="2"/>
      <c r="AH11" s="2"/>
    </row>
    <row r="12" spans="1:38" x14ac:dyDescent="0.4">
      <c r="A12" s="64" t="s">
        <v>73</v>
      </c>
      <c r="B12" s="58">
        <v>4</v>
      </c>
      <c r="C12" s="65">
        <v>7</v>
      </c>
      <c r="D12" s="48" t="str">
        <f>VLOOKUP($C12,[1]Summary!$A$4:$D$39,4, FALSE)</f>
        <v>Scot Pineno</v>
      </c>
      <c r="E12" s="65"/>
      <c r="F12" s="65"/>
      <c r="G12" s="58" t="s">
        <v>88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f>SUM(H12:P12)</f>
        <v>0</v>
      </c>
      <c r="S12" s="66" t="s">
        <v>89</v>
      </c>
      <c r="T12" s="52">
        <f>IF(H12&gt;=T14+H13+2,SUM(T14+H13+2),H12)</f>
        <v>0</v>
      </c>
      <c r="U12" s="52">
        <f t="shared" ref="U12:AB12" si="4">IF(I12&gt;=U14+I13+2,SUM(U14+I13+2),I12)</f>
        <v>0</v>
      </c>
      <c r="V12" s="52">
        <f t="shared" si="4"/>
        <v>0</v>
      </c>
      <c r="W12" s="52">
        <f t="shared" si="4"/>
        <v>0</v>
      </c>
      <c r="X12" s="52">
        <f t="shared" si="4"/>
        <v>0</v>
      </c>
      <c r="Y12" s="52">
        <f t="shared" si="4"/>
        <v>0</v>
      </c>
      <c r="Z12" s="52">
        <f t="shared" si="4"/>
        <v>0</v>
      </c>
      <c r="AA12" s="52">
        <f t="shared" si="4"/>
        <v>0</v>
      </c>
      <c r="AB12" s="52">
        <f t="shared" si="4"/>
        <v>0</v>
      </c>
      <c r="AC12" s="62">
        <f>SUM(T12:AB12)</f>
        <v>0</v>
      </c>
      <c r="AD12" s="41"/>
      <c r="AE12" s="2"/>
      <c r="AH12" s="2"/>
    </row>
    <row r="13" spans="1:38" ht="15" thickBot="1" x14ac:dyDescent="0.45">
      <c r="A13" s="54"/>
      <c r="B13" s="55"/>
      <c r="C13" s="55"/>
      <c r="D13" s="55"/>
      <c r="E13" s="55"/>
      <c r="F13" s="55"/>
      <c r="G13" s="43" t="s">
        <v>90</v>
      </c>
      <c r="H13" s="43">
        <f>IF($A$12="Front",VLOOKUP($Q13,'[1]Handicap Chart'!$B$4:$K$40,2),VLOOKUP($Q13,'[1]Handicap Chart'!$B$4:$K$40,10))</f>
        <v>2</v>
      </c>
      <c r="I13" s="43">
        <f>IF($A$12="Front",VLOOKUP($Q13,'[1]Handicap Chart'!$B$4:$K$40,4),VLOOKUP($Q13,'[1]Handicap Chart'!$B$4:$K$40,3))</f>
        <v>1</v>
      </c>
      <c r="J13" s="43">
        <f>IF($A$12="Front",VLOOKUP($Q13,'[1]Handicap Chart'!$B$4:$K$40,8),VLOOKUP($Q13,'[1]Handicap Chart'!$B$4:$K$40,6))</f>
        <v>1</v>
      </c>
      <c r="K13" s="43">
        <f>IF($A$12="Front",VLOOKUP($Q13,'[1]Handicap Chart'!$B$4:$K$40,9),VLOOKUP($Q13,'[1]Handicap Chart'!$B$4:$K$40,5))</f>
        <v>1</v>
      </c>
      <c r="L13" s="43">
        <f>IF($A$12="Front",VLOOKUP($Q13,'[1]Handicap Chart'!$B$4:$K$40,5),VLOOKUP($Q13,'[1]Handicap Chart'!$B$4:$K$40,4))</f>
        <v>1</v>
      </c>
      <c r="M13" s="43">
        <f>IF($A$12="Front",VLOOKUP($Q13,'[1]Handicap Chart'!$B$4:$K$40,10),VLOOKUP($Q13,'[1]Handicap Chart'!$B$4:$K$40,9))</f>
        <v>1</v>
      </c>
      <c r="N13" s="43">
        <f>IF($A$12="Front",VLOOKUP($Q13,'[1]Handicap Chart'!$B$4:$K$40,3),VLOOKUP($Q13,'[1]Handicap Chart'!$B$4:$K$40,7))</f>
        <v>2</v>
      </c>
      <c r="O13" s="43">
        <f>IF($A$12="Front",VLOOKUP($Q13,'[1]Handicap Chart'!$B$4:$K$40,7),VLOOKUP($Q13,'[1]Handicap Chart'!$B$4:$K$40,8))</f>
        <v>1</v>
      </c>
      <c r="P13" s="43">
        <f>IF($A$12="Front",VLOOKUP($Q13,'[1]Handicap Chart'!$B$4:$K$40,6),VLOOKUP($Q13,'[1]Handicap Chart'!$B$4:$K$40,2))</f>
        <v>1</v>
      </c>
      <c r="Q13" s="56">
        <f>VLOOKUP($C12,[1]Summary!$A$4:$BL$39,50, FALSE)</f>
        <v>11</v>
      </c>
      <c r="S13" s="57" t="s">
        <v>91</v>
      </c>
      <c r="T13" s="58">
        <f t="shared" ref="T13:AB13" si="5">IF(OR(EXACT($E12,"Y"),(EXACT($F12,"Y"))),"-",IF(H14-T14&gt;1,-1,IF(H14-T14=0,1,IF(H14-T14=-1,3,IF(H14-T14=-2,4,IF(H14-T14=-3,5,0))))))</f>
        <v>0</v>
      </c>
      <c r="U13" s="58">
        <f t="shared" si="5"/>
        <v>0</v>
      </c>
      <c r="V13" s="58">
        <f t="shared" si="5"/>
        <v>0</v>
      </c>
      <c r="W13" s="58">
        <f t="shared" si="5"/>
        <v>0</v>
      </c>
      <c r="X13" s="58">
        <f t="shared" si="5"/>
        <v>0</v>
      </c>
      <c r="Y13" s="58">
        <f t="shared" si="5"/>
        <v>0</v>
      </c>
      <c r="Z13" s="58">
        <f t="shared" si="5"/>
        <v>0</v>
      </c>
      <c r="AA13" s="58">
        <f t="shared" si="5"/>
        <v>0</v>
      </c>
      <c r="AB13" s="58">
        <f t="shared" si="5"/>
        <v>0</v>
      </c>
      <c r="AC13" s="59">
        <f>IF(EXACT(E12,"Y"),6,IF(EXACT(F12,"Y"),2,SUM(T13:AB13)))</f>
        <v>0</v>
      </c>
      <c r="AD13" s="41"/>
      <c r="AE13" s="2"/>
      <c r="AH13" s="2"/>
    </row>
    <row r="14" spans="1:38" ht="15" thickBot="1" x14ac:dyDescent="0.45">
      <c r="A14" s="54"/>
      <c r="B14" s="55"/>
      <c r="C14" s="55"/>
      <c r="D14" s="55"/>
      <c r="E14" s="55"/>
      <c r="F14" s="55"/>
      <c r="G14" s="60" t="s">
        <v>92</v>
      </c>
      <c r="H14" s="61">
        <f t="shared" ref="H14:P14" si="6">IF(OR(EXACT($E12,"Y"),(EXACT($F12,"Y"))),"-",H12-H13)</f>
        <v>-2</v>
      </c>
      <c r="I14" s="61">
        <f t="shared" si="6"/>
        <v>-1</v>
      </c>
      <c r="J14" s="61">
        <f t="shared" si="6"/>
        <v>-1</v>
      </c>
      <c r="K14" s="61">
        <f t="shared" si="6"/>
        <v>-1</v>
      </c>
      <c r="L14" s="61">
        <f t="shared" si="6"/>
        <v>-1</v>
      </c>
      <c r="M14" s="61">
        <f t="shared" si="6"/>
        <v>-1</v>
      </c>
      <c r="N14" s="61">
        <f t="shared" si="6"/>
        <v>-2</v>
      </c>
      <c r="O14" s="61">
        <f t="shared" si="6"/>
        <v>-1</v>
      </c>
      <c r="P14" s="61">
        <f t="shared" si="6"/>
        <v>-1</v>
      </c>
      <c r="Q14" s="62">
        <f>SUM(H14:P14)</f>
        <v>-11</v>
      </c>
      <c r="S14" s="63" t="str">
        <f>$A$12</f>
        <v>Front</v>
      </c>
      <c r="T14" s="43">
        <f t="shared" ref="T14:AB14" si="7">IF($A$12="Front",T$1,T$2)</f>
        <v>4</v>
      </c>
      <c r="U14" s="43">
        <f t="shared" si="7"/>
        <v>3</v>
      </c>
      <c r="V14" s="43">
        <f t="shared" si="7"/>
        <v>4</v>
      </c>
      <c r="W14" s="43">
        <f t="shared" si="7"/>
        <v>5</v>
      </c>
      <c r="X14" s="43">
        <f t="shared" si="7"/>
        <v>4</v>
      </c>
      <c r="Y14" s="43">
        <f t="shared" si="7"/>
        <v>3</v>
      </c>
      <c r="Z14" s="43">
        <f t="shared" si="7"/>
        <v>4</v>
      </c>
      <c r="AA14" s="43">
        <f t="shared" si="7"/>
        <v>5</v>
      </c>
      <c r="AB14" s="43">
        <f t="shared" si="7"/>
        <v>4</v>
      </c>
      <c r="AC14" s="56">
        <f>SUM(T14:AB14)</f>
        <v>36</v>
      </c>
      <c r="AD14" s="41">
        <f>B9</f>
        <v>4</v>
      </c>
      <c r="AE14" s="67">
        <f>AC10+AC13</f>
        <v>0</v>
      </c>
      <c r="AF14" s="67">
        <f>IF(AC10&gt;=AC16,IF(AC10&gt;AC16,IF(AC13&gt;=AC19,IF(AC13&gt;AC19,4,3),2),IF(AC13&gt;=AC19,IF(AC13&gt;AC19,3,2),IF(AC13&gt;=AC19,IF(AC13&gt;AC19,2,1),1))),IF(AC13&gt;=AC19,IF(AC13&gt;AC19,2,1),0))</f>
        <v>1</v>
      </c>
      <c r="AG14" s="67">
        <f>IF(AE14&gt;AE20,4,IF(AE14=AE20,2,0))</f>
        <v>0</v>
      </c>
      <c r="AH14" s="68">
        <v>0</v>
      </c>
      <c r="AI14" s="68">
        <f>SUM(AF14:AH14)</f>
        <v>1</v>
      </c>
    </row>
    <row r="15" spans="1:38" x14ac:dyDescent="0.4">
      <c r="A15" s="64" t="s">
        <v>93</v>
      </c>
      <c r="B15" s="69">
        <v>6</v>
      </c>
      <c r="C15" s="70">
        <v>11</v>
      </c>
      <c r="D15" s="69" t="str">
        <f>VLOOKUP($C15,[1]Summary!$A$4:$BL$39,4, FALSE)</f>
        <v>Jake Deshaies</v>
      </c>
      <c r="E15" s="70"/>
      <c r="F15" s="70"/>
      <c r="G15" s="69" t="s">
        <v>88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f>SUM(H15:P15)</f>
        <v>0</v>
      </c>
      <c r="S15" s="66" t="s">
        <v>89</v>
      </c>
      <c r="T15" s="52">
        <f t="shared" ref="T15:AB15" si="8">IF(H15&gt;=T17+H16+2,SUM(T17+H16+2),H15)</f>
        <v>0</v>
      </c>
      <c r="U15" s="52">
        <f t="shared" si="8"/>
        <v>0</v>
      </c>
      <c r="V15" s="52">
        <f t="shared" si="8"/>
        <v>0</v>
      </c>
      <c r="W15" s="52">
        <f t="shared" si="8"/>
        <v>0</v>
      </c>
      <c r="X15" s="52">
        <f t="shared" si="8"/>
        <v>0</v>
      </c>
      <c r="Y15" s="52">
        <f t="shared" si="8"/>
        <v>0</v>
      </c>
      <c r="Z15" s="52">
        <f t="shared" si="8"/>
        <v>0</v>
      </c>
      <c r="AA15" s="52">
        <f t="shared" si="8"/>
        <v>0</v>
      </c>
      <c r="AB15" s="52">
        <f t="shared" si="8"/>
        <v>0</v>
      </c>
      <c r="AC15" s="62">
        <f>SUM(T15:AB15)</f>
        <v>0</v>
      </c>
      <c r="AD15" s="41"/>
      <c r="AE15" s="2"/>
      <c r="AH15" s="2">
        <v>0</v>
      </c>
    </row>
    <row r="16" spans="1:38" x14ac:dyDescent="0.4">
      <c r="A16" s="54"/>
      <c r="B16" s="55"/>
      <c r="C16" s="55"/>
      <c r="D16" s="55"/>
      <c r="E16" s="55"/>
      <c r="F16" s="55"/>
      <c r="G16" s="43" t="s">
        <v>90</v>
      </c>
      <c r="H16" s="43">
        <f>IF($A$12="Front",VLOOKUP($Q16,'[1]Handicap Chart'!$B$4:$K$40,2),VLOOKUP($Q16,'[1]Handicap Chart'!$B$4:$K$40,10))</f>
        <v>1</v>
      </c>
      <c r="I16" s="43">
        <f>IF($A$12="Front",VLOOKUP($Q16,'[1]Handicap Chart'!$B$4:$K$40,4),VLOOKUP($Q16,'[1]Handicap Chart'!$B$4:$K$40,3))</f>
        <v>1</v>
      </c>
      <c r="J16" s="43">
        <f>IF($A$12="Front",VLOOKUP($Q16,'[1]Handicap Chart'!$B$4:$K$40,8),VLOOKUP($Q16,'[1]Handicap Chart'!$B$4:$K$40,6))</f>
        <v>0</v>
      </c>
      <c r="K16" s="43">
        <f>IF($A$12="Front",VLOOKUP($Q16,'[1]Handicap Chart'!$B$4:$K$40,9),VLOOKUP($Q16,'[1]Handicap Chart'!$B$4:$K$40,5))</f>
        <v>0</v>
      </c>
      <c r="L16" s="43">
        <f>IF($A$12="Front",VLOOKUP($Q16,'[1]Handicap Chart'!$B$4:$K$40,5),VLOOKUP($Q16,'[1]Handicap Chart'!$B$4:$K$40,4))</f>
        <v>0</v>
      </c>
      <c r="M16" s="43">
        <f>IF($A$12="Front",VLOOKUP($Q16,'[1]Handicap Chart'!$B$4:$K$40,10),VLOOKUP($Q16,'[1]Handicap Chart'!$B$4:$K$40,9))</f>
        <v>0</v>
      </c>
      <c r="N16" s="43">
        <f>IF($A$12="Front",VLOOKUP($Q16,'[1]Handicap Chart'!$B$4:$K$40,3),VLOOKUP($Q16,'[1]Handicap Chart'!$B$4:$K$40,7))</f>
        <v>1</v>
      </c>
      <c r="O16" s="43">
        <f>IF($A$12="Front",VLOOKUP($Q16,'[1]Handicap Chart'!$B$4:$K$40,7),VLOOKUP($Q16,'[1]Handicap Chart'!$B$4:$K$40,8))</f>
        <v>0</v>
      </c>
      <c r="P16" s="43">
        <f>IF($A$12="Front",VLOOKUP($Q16,'[1]Handicap Chart'!$B$4:$K$40,6),VLOOKUP($Q16,'[1]Handicap Chart'!$B$4:$K$40,2))</f>
        <v>0</v>
      </c>
      <c r="Q16" s="56">
        <f>VLOOKUP($C15,[1]Summary!$A$4:$BL$39,50, FALSE)</f>
        <v>3</v>
      </c>
      <c r="S16" s="72" t="s">
        <v>91</v>
      </c>
      <c r="T16" s="72">
        <f>IF(OR(EXACT($E15,"Y"),(EXACT($F15,"Y"))),"-",IF(H17-T17&gt;1,-1,IF(H17-T17=0,1,IF(H17-T17=-1,3,IF(H17-T17=-2,4,IF(H17-T17=-3,5,0))))))</f>
        <v>0</v>
      </c>
      <c r="U16" s="72">
        <f t="shared" ref="U16:AB16" si="9">IF(OR(EXACT($E15,"Y"),(EXACT($F15,"Y"))),"-",IF(I17-U17&gt;1,-1,IF(I17-U17=0,1,IF(I17-U17=-1,3,IF(I17-U17=-2,4,IF(I17-U17=-3,5,0))))))</f>
        <v>0</v>
      </c>
      <c r="V16" s="72">
        <f t="shared" si="9"/>
        <v>0</v>
      </c>
      <c r="W16" s="72">
        <f t="shared" si="9"/>
        <v>0</v>
      </c>
      <c r="X16" s="72">
        <f t="shared" si="9"/>
        <v>0</v>
      </c>
      <c r="Y16" s="72">
        <f t="shared" si="9"/>
        <v>5</v>
      </c>
      <c r="Z16" s="72">
        <f t="shared" si="9"/>
        <v>0</v>
      </c>
      <c r="AA16" s="72">
        <f t="shared" si="9"/>
        <v>0</v>
      </c>
      <c r="AB16" s="72">
        <f t="shared" si="9"/>
        <v>0</v>
      </c>
      <c r="AC16" s="71">
        <f>IF(EXACT(E15,"Y"),6,IF(EXACT(F15,"Y"),2,SUM(T16:AB16)))</f>
        <v>5</v>
      </c>
      <c r="AD16" s="41"/>
      <c r="AE16" s="2"/>
      <c r="AH16" s="2"/>
    </row>
    <row r="17" spans="1:35" x14ac:dyDescent="0.4">
      <c r="A17" s="54"/>
      <c r="B17" s="55"/>
      <c r="C17" s="55"/>
      <c r="D17" s="55"/>
      <c r="E17" s="55"/>
      <c r="F17" s="55"/>
      <c r="G17" s="60" t="s">
        <v>92</v>
      </c>
      <c r="H17" s="61">
        <f t="shared" ref="H17:P17" si="10">IF(OR(EXACT($E15,"Y"),(EXACT($F15,"Y"))),"-",H15-H16)</f>
        <v>-1</v>
      </c>
      <c r="I17" s="61">
        <f t="shared" si="10"/>
        <v>-1</v>
      </c>
      <c r="J17" s="61">
        <f t="shared" si="10"/>
        <v>0</v>
      </c>
      <c r="K17" s="61">
        <f t="shared" si="10"/>
        <v>0</v>
      </c>
      <c r="L17" s="61">
        <f t="shared" si="10"/>
        <v>0</v>
      </c>
      <c r="M17" s="61">
        <f t="shared" si="10"/>
        <v>0</v>
      </c>
      <c r="N17" s="61">
        <f t="shared" si="10"/>
        <v>-1</v>
      </c>
      <c r="O17" s="61">
        <f t="shared" si="10"/>
        <v>0</v>
      </c>
      <c r="P17" s="61">
        <f t="shared" si="10"/>
        <v>0</v>
      </c>
      <c r="Q17" s="62">
        <f>SUM(H17:P17)</f>
        <v>-3</v>
      </c>
      <c r="S17" s="63" t="str">
        <f>$A$12</f>
        <v>Front</v>
      </c>
      <c r="T17" s="43">
        <f t="shared" ref="T17:AB17" si="11">IF($A$12="Front",T$1,T$2)</f>
        <v>4</v>
      </c>
      <c r="U17" s="43">
        <f t="shared" si="11"/>
        <v>3</v>
      </c>
      <c r="V17" s="43">
        <f t="shared" si="11"/>
        <v>4</v>
      </c>
      <c r="W17" s="43">
        <f t="shared" si="11"/>
        <v>5</v>
      </c>
      <c r="X17" s="43">
        <f t="shared" si="11"/>
        <v>4</v>
      </c>
      <c r="Y17" s="43">
        <f t="shared" si="11"/>
        <v>3</v>
      </c>
      <c r="Z17" s="43">
        <f t="shared" si="11"/>
        <v>4</v>
      </c>
      <c r="AA17" s="43">
        <f t="shared" si="11"/>
        <v>5</v>
      </c>
      <c r="AB17" s="43">
        <f t="shared" si="11"/>
        <v>4</v>
      </c>
      <c r="AC17" s="56">
        <f>SUM(T17:AB17)</f>
        <v>36</v>
      </c>
      <c r="AD17" s="41"/>
      <c r="AE17" s="2"/>
      <c r="AH17" s="2"/>
    </row>
    <row r="18" spans="1:35" x14ac:dyDescent="0.4">
      <c r="A18" s="64" t="s">
        <v>94</v>
      </c>
      <c r="B18" s="69">
        <v>6</v>
      </c>
      <c r="C18" s="70">
        <v>12</v>
      </c>
      <c r="D18" s="69" t="str">
        <f>VLOOKUP($C18,[1]Summary!$A$4:$BL$39,4, FALSE)</f>
        <v>Scott Glascott</v>
      </c>
      <c r="E18" s="70"/>
      <c r="F18" s="70"/>
      <c r="G18" s="69" t="s">
        <v>88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f>SUM(H18:P18)</f>
        <v>0</v>
      </c>
      <c r="S18" s="66" t="s">
        <v>89</v>
      </c>
      <c r="T18" s="52">
        <f t="shared" ref="T18:AB18" si="12">IF(H18&gt;=T20+H19+2,SUM(T20+H19+2),H18)</f>
        <v>0</v>
      </c>
      <c r="U18" s="52">
        <f t="shared" si="12"/>
        <v>0</v>
      </c>
      <c r="V18" s="52">
        <f t="shared" si="12"/>
        <v>0</v>
      </c>
      <c r="W18" s="52">
        <f t="shared" si="12"/>
        <v>0</v>
      </c>
      <c r="X18" s="52">
        <f t="shared" si="12"/>
        <v>0</v>
      </c>
      <c r="Y18" s="52">
        <f t="shared" si="12"/>
        <v>0</v>
      </c>
      <c r="Z18" s="52">
        <f t="shared" si="12"/>
        <v>0</v>
      </c>
      <c r="AA18" s="52">
        <f t="shared" si="12"/>
        <v>0</v>
      </c>
      <c r="AB18" s="52">
        <f t="shared" si="12"/>
        <v>0</v>
      </c>
      <c r="AC18" s="62">
        <f>SUM(T18:AB18)</f>
        <v>0</v>
      </c>
      <c r="AD18" s="41"/>
      <c r="AE18" s="2"/>
      <c r="AH18" s="2"/>
    </row>
    <row r="19" spans="1:35" ht="15" thickBot="1" x14ac:dyDescent="0.45">
      <c r="A19" s="54"/>
      <c r="B19" s="55"/>
      <c r="C19" s="55"/>
      <c r="D19" s="55"/>
      <c r="E19" s="55"/>
      <c r="F19" s="55"/>
      <c r="G19" s="43" t="s">
        <v>90</v>
      </c>
      <c r="H19" s="43">
        <f>IF($A$12="Front",VLOOKUP($Q19,'[1]Handicap Chart'!$B$4:$K$40,2),VLOOKUP($Q19,'[1]Handicap Chart'!$B$4:$K$40,10))</f>
        <v>2</v>
      </c>
      <c r="I19" s="43">
        <f>IF($A$12="Front",VLOOKUP($Q19,'[1]Handicap Chart'!$B$4:$K$40,4),VLOOKUP($Q19,'[1]Handicap Chart'!$B$4:$K$40,3))</f>
        <v>2</v>
      </c>
      <c r="J19" s="43">
        <f>IF($A$12="Front",VLOOKUP($Q19,'[1]Handicap Chart'!$B$4:$K$40,8),VLOOKUP($Q19,'[1]Handicap Chart'!$B$4:$K$40,6))</f>
        <v>1</v>
      </c>
      <c r="K19" s="43">
        <f>IF($A$12="Front",VLOOKUP($Q19,'[1]Handicap Chart'!$B$4:$K$40,9),VLOOKUP($Q19,'[1]Handicap Chart'!$B$4:$K$40,5))</f>
        <v>1</v>
      </c>
      <c r="L19" s="43">
        <f>IF($A$12="Front",VLOOKUP($Q19,'[1]Handicap Chart'!$B$4:$K$40,5),VLOOKUP($Q19,'[1]Handicap Chart'!$B$4:$K$40,4))</f>
        <v>2</v>
      </c>
      <c r="M19" s="43">
        <f>IF($A$12="Front",VLOOKUP($Q19,'[1]Handicap Chart'!$B$4:$K$40,10),VLOOKUP($Q19,'[1]Handicap Chart'!$B$4:$K$40,9))</f>
        <v>1</v>
      </c>
      <c r="N19" s="43">
        <f>IF($A$12="Front",VLOOKUP($Q19,'[1]Handicap Chart'!$B$4:$K$40,3),VLOOKUP($Q19,'[1]Handicap Chart'!$B$4:$K$40,7))</f>
        <v>2</v>
      </c>
      <c r="O19" s="43">
        <f>IF($A$12="Front",VLOOKUP($Q19,'[1]Handicap Chart'!$B$4:$K$40,7),VLOOKUP($Q19,'[1]Handicap Chart'!$B$4:$K$40,8))</f>
        <v>1</v>
      </c>
      <c r="P19" s="43">
        <f>IF($A$12="Front",VLOOKUP($Q19,'[1]Handicap Chart'!$B$4:$K$40,6),VLOOKUP($Q19,'[1]Handicap Chart'!$B$4:$K$40,2))</f>
        <v>2</v>
      </c>
      <c r="Q19" s="56">
        <f>VLOOKUP($C18,[1]Summary!$A$4:$BL$39,50, FALSE)</f>
        <v>14</v>
      </c>
      <c r="S19" s="72" t="s">
        <v>91</v>
      </c>
      <c r="T19" s="72">
        <f>IF(OR(EXACT($E18,"Y"),(EXACT($F18,"Y"))),"-",IF(H20-T20&gt;1,-1,IF(H20-T20=0,1,IF(H20-T20=-1,3,IF(H20-T20=-2,4,IF(H20-T20=-3,5,0))))))</f>
        <v>0</v>
      </c>
      <c r="U19" s="72">
        <f t="shared" ref="U19:AB19" si="13">IF(OR(EXACT($E18,"Y"),(EXACT($F18,"Y"))),"-",IF(I20-U20&gt;1,-1,IF(I20-U20=0,1,IF(I20-U20=-1,3,IF(I20-U20=-2,4,IF(I20-U20=-3,5,0))))))</f>
        <v>0</v>
      </c>
      <c r="V19" s="72">
        <f t="shared" si="13"/>
        <v>0</v>
      </c>
      <c r="W19" s="72">
        <f t="shared" si="13"/>
        <v>0</v>
      </c>
      <c r="X19" s="72">
        <f t="shared" si="13"/>
        <v>0</v>
      </c>
      <c r="Y19" s="72">
        <f t="shared" si="13"/>
        <v>0</v>
      </c>
      <c r="Z19" s="72">
        <f t="shared" si="13"/>
        <v>0</v>
      </c>
      <c r="AA19" s="72">
        <f t="shared" si="13"/>
        <v>0</v>
      </c>
      <c r="AB19" s="72">
        <f t="shared" si="13"/>
        <v>0</v>
      </c>
      <c r="AC19" s="71">
        <f>IF(EXACT(E18,"Y"),6,IF(EXACT(F18,"Y"),2,SUM(T19:AB19)))</f>
        <v>0</v>
      </c>
      <c r="AD19" s="41"/>
      <c r="AE19" s="2"/>
      <c r="AH19" s="2"/>
    </row>
    <row r="20" spans="1:35" ht="15" thickBot="1" x14ac:dyDescent="0.45">
      <c r="A20" s="73"/>
      <c r="B20" s="74"/>
      <c r="C20" s="74"/>
      <c r="D20" s="74"/>
      <c r="E20" s="74"/>
      <c r="F20" s="74"/>
      <c r="G20" s="75" t="s">
        <v>92</v>
      </c>
      <c r="H20" s="61">
        <f t="shared" ref="H20:P20" si="14">IF(OR(EXACT($E18,"Y"),(EXACT($F18,"Y"))),"-",H18-H19)</f>
        <v>-2</v>
      </c>
      <c r="I20" s="61">
        <f t="shared" si="14"/>
        <v>-2</v>
      </c>
      <c r="J20" s="61">
        <f t="shared" si="14"/>
        <v>-1</v>
      </c>
      <c r="K20" s="61">
        <f t="shared" si="14"/>
        <v>-1</v>
      </c>
      <c r="L20" s="61">
        <f t="shared" si="14"/>
        <v>-2</v>
      </c>
      <c r="M20" s="61">
        <f t="shared" si="14"/>
        <v>-1</v>
      </c>
      <c r="N20" s="61">
        <f t="shared" si="14"/>
        <v>-2</v>
      </c>
      <c r="O20" s="61">
        <f t="shared" si="14"/>
        <v>-1</v>
      </c>
      <c r="P20" s="61">
        <f t="shared" si="14"/>
        <v>-2</v>
      </c>
      <c r="Q20" s="76">
        <f>SUM(H20:P20)</f>
        <v>-14</v>
      </c>
      <c r="S20" s="28" t="str">
        <f>$A$12</f>
        <v>Front</v>
      </c>
      <c r="T20" s="77">
        <f t="shared" ref="T20:AB20" si="15">IF($A$12="Front",T$1,T$2)</f>
        <v>4</v>
      </c>
      <c r="U20" s="77">
        <f t="shared" si="15"/>
        <v>3</v>
      </c>
      <c r="V20" s="77">
        <f t="shared" si="15"/>
        <v>4</v>
      </c>
      <c r="W20" s="77">
        <f t="shared" si="15"/>
        <v>5</v>
      </c>
      <c r="X20" s="77">
        <f t="shared" si="15"/>
        <v>4</v>
      </c>
      <c r="Y20" s="77">
        <f t="shared" si="15"/>
        <v>3</v>
      </c>
      <c r="Z20" s="77">
        <f t="shared" si="15"/>
        <v>4</v>
      </c>
      <c r="AA20" s="77">
        <f t="shared" si="15"/>
        <v>5</v>
      </c>
      <c r="AB20" s="77">
        <f t="shared" si="15"/>
        <v>4</v>
      </c>
      <c r="AC20" s="78">
        <f>SUM(T20:AB20)</f>
        <v>36</v>
      </c>
      <c r="AD20" s="41">
        <f>B15</f>
        <v>6</v>
      </c>
      <c r="AE20" s="79">
        <f>AC16+AC19</f>
        <v>5</v>
      </c>
      <c r="AF20" s="79">
        <f>IF(AC16&gt;=AC10,IF(AC16&gt;AC10,IF(AC19&gt;=AC13,IF(AC19&gt;AC13,4,3),2),IF(AC19&gt;=AC13,IF(AC19&gt;AC13,3,2),IF(AC19&gt;=AC13,IF(AC19&gt;AC13,2,1),1))),IF(AC19&gt;=AC13,IF(AC19&gt;AC13,2,1),0))</f>
        <v>3</v>
      </c>
      <c r="AG20" s="79">
        <f>IF(AE20&gt;AE14,4,IF(AE20=AE14,2,0))</f>
        <v>4</v>
      </c>
      <c r="AH20" s="80">
        <v>2</v>
      </c>
      <c r="AI20" s="80">
        <f>SUM(AF20:AH20)</f>
        <v>9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45">
      <c r="A22" s="43" t="s">
        <v>81</v>
      </c>
      <c r="B22" s="43" t="s">
        <v>0</v>
      </c>
      <c r="C22" s="43" t="s">
        <v>6</v>
      </c>
      <c r="D22" s="43" t="s">
        <v>83</v>
      </c>
      <c r="E22" s="43" t="s">
        <v>84</v>
      </c>
      <c r="F22" s="43" t="s">
        <v>85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86</v>
      </c>
      <c r="S22" s="44" t="s">
        <v>87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4">
      <c r="A23" s="47">
        <v>2</v>
      </c>
      <c r="B23" s="48">
        <v>10</v>
      </c>
      <c r="C23" s="49">
        <v>20</v>
      </c>
      <c r="D23" s="48" t="str">
        <f>VLOOKUP($C23,[1]Summary!$A$4:$D$39,4, FALSE)</f>
        <v>Chris Nelson</v>
      </c>
      <c r="E23" s="49"/>
      <c r="F23" s="49"/>
      <c r="G23" s="48" t="s">
        <v>88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f>SUM(H23:P23)</f>
        <v>0</v>
      </c>
      <c r="S23" s="51" t="s">
        <v>89</v>
      </c>
      <c r="T23" s="52">
        <f t="shared" ref="T23:AB23" si="16">IF(H23&gt;=T25+H24+2,SUM(T25+H24+2),H23)</f>
        <v>0</v>
      </c>
      <c r="U23" s="52">
        <f t="shared" si="16"/>
        <v>0</v>
      </c>
      <c r="V23" s="52">
        <f t="shared" si="16"/>
        <v>0</v>
      </c>
      <c r="W23" s="52">
        <f t="shared" si="16"/>
        <v>0</v>
      </c>
      <c r="X23" s="52">
        <f t="shared" si="16"/>
        <v>0</v>
      </c>
      <c r="Y23" s="52">
        <f t="shared" si="16"/>
        <v>0</v>
      </c>
      <c r="Z23" s="52">
        <f t="shared" si="16"/>
        <v>0</v>
      </c>
      <c r="AA23" s="52">
        <f t="shared" si="16"/>
        <v>0</v>
      </c>
      <c r="AB23" s="52">
        <f t="shared" si="16"/>
        <v>0</v>
      </c>
      <c r="AC23" s="53">
        <f>SUM(T23:AB23)</f>
        <v>0</v>
      </c>
      <c r="AD23" s="41"/>
      <c r="AE23" s="2"/>
      <c r="AH23" s="2"/>
    </row>
    <row r="24" spans="1:35" x14ac:dyDescent="0.4">
      <c r="A24" s="54"/>
      <c r="B24" s="55"/>
      <c r="C24" s="55"/>
      <c r="D24" s="55"/>
      <c r="E24" s="55"/>
      <c r="F24" s="55"/>
      <c r="G24" s="43" t="s">
        <v>90</v>
      </c>
      <c r="H24" s="43">
        <f>IF($A$26="Front",VLOOKUP($Q24,'[1]Handicap Chart'!$B$4:$K$40,2),VLOOKUP($Q24,'[1]Handicap Chart'!$B$4:$K$40,10))</f>
        <v>1</v>
      </c>
      <c r="I24" s="43">
        <f>IF($A$26="Front",VLOOKUP($Q24,'[1]Handicap Chart'!$B$4:$K$40,4),VLOOKUP($Q24,'[1]Handicap Chart'!$B$4:$K$40,3))</f>
        <v>1</v>
      </c>
      <c r="J24" s="43">
        <f>IF($A$26="Front",VLOOKUP($Q24,'[1]Handicap Chart'!$B$4:$K$40,8),VLOOKUP($Q24,'[1]Handicap Chart'!$B$4:$K$40,6))</f>
        <v>0</v>
      </c>
      <c r="K24" s="43">
        <f>IF($A$26="Front",VLOOKUP($Q24,'[1]Handicap Chart'!$B$4:$K$40,9),VLOOKUP($Q24,'[1]Handicap Chart'!$B$4:$K$40,5))</f>
        <v>0</v>
      </c>
      <c r="L24" s="43">
        <f>IF($A$26="Front",VLOOKUP($Q24,'[1]Handicap Chart'!$B$4:$K$40,5),VLOOKUP($Q24,'[1]Handicap Chart'!$B$4:$K$40,4))</f>
        <v>1</v>
      </c>
      <c r="M24" s="43">
        <f>IF($A$26="Front",VLOOKUP($Q24,'[1]Handicap Chart'!$B$4:$K$40,10),VLOOKUP($Q24,'[1]Handicap Chart'!$B$4:$K$40,9))</f>
        <v>0</v>
      </c>
      <c r="N24" s="43">
        <f>IF($A$26="Front",VLOOKUP($Q24,'[1]Handicap Chart'!$B$4:$K$40,3),VLOOKUP($Q24,'[1]Handicap Chart'!$B$4:$K$40,7))</f>
        <v>1</v>
      </c>
      <c r="O24" s="43">
        <f>IF($A$26="Front",VLOOKUP($Q24,'[1]Handicap Chart'!$B$4:$K$40,7),VLOOKUP($Q24,'[1]Handicap Chart'!$B$4:$K$40,8))</f>
        <v>0</v>
      </c>
      <c r="P24" s="43">
        <f>IF($A$26="Front",VLOOKUP($Q24,'[1]Handicap Chart'!$B$4:$K$40,6),VLOOKUP($Q24,'[1]Handicap Chart'!$B$4:$K$40,2))</f>
        <v>1</v>
      </c>
      <c r="Q24" s="56">
        <f>VLOOKUP($C23,[1]Summary!$A$4:$BL$39,50, FALSE)</f>
        <v>5</v>
      </c>
      <c r="S24" s="57" t="s">
        <v>91</v>
      </c>
      <c r="T24" s="58">
        <f t="shared" ref="T24:AB24" si="17">IF(OR(EXACT($E23,"Y"),(EXACT($F23,"Y"))),"-",IF(H25-T25&gt;1,-1,IF(H25-T25=0,1,IF(H25-T25=-1,3,IF(H25-T25=-2,4,IF(H25-T25=-3,5,0))))))</f>
        <v>0</v>
      </c>
      <c r="U24" s="58">
        <f t="shared" si="17"/>
        <v>0</v>
      </c>
      <c r="V24" s="58">
        <f t="shared" si="17"/>
        <v>0</v>
      </c>
      <c r="W24" s="58">
        <f t="shared" si="17"/>
        <v>0</v>
      </c>
      <c r="X24" s="58">
        <f t="shared" si="17"/>
        <v>0</v>
      </c>
      <c r="Y24" s="58">
        <f t="shared" si="17"/>
        <v>5</v>
      </c>
      <c r="Z24" s="58">
        <f t="shared" si="17"/>
        <v>0</v>
      </c>
      <c r="AA24" s="58">
        <f t="shared" si="17"/>
        <v>0</v>
      </c>
      <c r="AB24" s="58">
        <f t="shared" si="17"/>
        <v>0</v>
      </c>
      <c r="AC24" s="59">
        <f>IF(EXACT(E23,"Y"),6,IF(EXACT(F23,"Y"),2,SUM(T24:AB24)))</f>
        <v>5</v>
      </c>
      <c r="AD24" s="41"/>
      <c r="AE24" s="2"/>
      <c r="AH24" s="2"/>
    </row>
    <row r="25" spans="1:35" ht="15" thickBot="1" x14ac:dyDescent="0.45">
      <c r="A25" s="54"/>
      <c r="B25" s="55"/>
      <c r="C25" s="55"/>
      <c r="D25" s="55"/>
      <c r="E25" s="55"/>
      <c r="F25" s="55"/>
      <c r="G25" s="60" t="s">
        <v>92</v>
      </c>
      <c r="H25" s="61">
        <f t="shared" ref="H25:P25" si="18">IF(OR(EXACT($E23,"Y"),(EXACT($F23,"Y"))),"-",H23-H24)</f>
        <v>-1</v>
      </c>
      <c r="I25" s="61">
        <f t="shared" si="18"/>
        <v>-1</v>
      </c>
      <c r="J25" s="61">
        <f t="shared" si="18"/>
        <v>0</v>
      </c>
      <c r="K25" s="61">
        <f t="shared" si="18"/>
        <v>0</v>
      </c>
      <c r="L25" s="61">
        <f t="shared" si="18"/>
        <v>-1</v>
      </c>
      <c r="M25" s="61">
        <f t="shared" si="18"/>
        <v>0</v>
      </c>
      <c r="N25" s="61">
        <f t="shared" si="18"/>
        <v>-1</v>
      </c>
      <c r="O25" s="61">
        <f t="shared" si="18"/>
        <v>0</v>
      </c>
      <c r="P25" s="61">
        <f t="shared" si="18"/>
        <v>-1</v>
      </c>
      <c r="Q25" s="62">
        <f>SUM(H25:P25)</f>
        <v>-5</v>
      </c>
      <c r="S25" s="63" t="str">
        <f>$A$12</f>
        <v>Front</v>
      </c>
      <c r="T25" s="43">
        <f t="shared" ref="T25:AB25" si="19">IF($A$12="Front",T$1,T$2)</f>
        <v>4</v>
      </c>
      <c r="U25" s="43">
        <f t="shared" si="19"/>
        <v>3</v>
      </c>
      <c r="V25" s="43">
        <f t="shared" si="19"/>
        <v>4</v>
      </c>
      <c r="W25" s="43">
        <f t="shared" si="19"/>
        <v>5</v>
      </c>
      <c r="X25" s="43">
        <f t="shared" si="19"/>
        <v>4</v>
      </c>
      <c r="Y25" s="43">
        <f t="shared" si="19"/>
        <v>3</v>
      </c>
      <c r="Z25" s="43">
        <f t="shared" si="19"/>
        <v>4</v>
      </c>
      <c r="AA25" s="43">
        <f t="shared" si="19"/>
        <v>5</v>
      </c>
      <c r="AB25" s="43">
        <f t="shared" si="19"/>
        <v>4</v>
      </c>
      <c r="AC25" s="56">
        <f>SUM(T25:AB25)</f>
        <v>36</v>
      </c>
      <c r="AD25" s="41"/>
      <c r="AE25" s="2"/>
      <c r="AH25" s="2"/>
    </row>
    <row r="26" spans="1:35" x14ac:dyDescent="0.4">
      <c r="A26" s="64" t="s">
        <v>73</v>
      </c>
      <c r="B26" s="58">
        <v>10</v>
      </c>
      <c r="C26" s="65">
        <v>19</v>
      </c>
      <c r="D26" s="48" t="str">
        <f>VLOOKUP($C26,[1]Summary!$A$4:$D$39,4, FALSE)</f>
        <v>Tom Mulvey</v>
      </c>
      <c r="E26" s="65"/>
      <c r="F26" s="65"/>
      <c r="G26" s="58" t="s">
        <v>88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f>SUM(H26:P26)</f>
        <v>0</v>
      </c>
      <c r="S26" s="66" t="s">
        <v>89</v>
      </c>
      <c r="T26" s="52">
        <f>IF(H26&gt;=T28+H27+2,SUM(T28+H27+2),H26)</f>
        <v>0</v>
      </c>
      <c r="U26" s="52">
        <f t="shared" ref="U26:AB26" si="20">IF(I26&gt;=U28+I27+2,SUM(U28+I27+2),I26)</f>
        <v>0</v>
      </c>
      <c r="V26" s="52">
        <f t="shared" si="20"/>
        <v>0</v>
      </c>
      <c r="W26" s="52">
        <f t="shared" si="20"/>
        <v>0</v>
      </c>
      <c r="X26" s="52">
        <f t="shared" si="20"/>
        <v>0</v>
      </c>
      <c r="Y26" s="52">
        <f t="shared" si="20"/>
        <v>0</v>
      </c>
      <c r="Z26" s="52">
        <f t="shared" si="20"/>
        <v>0</v>
      </c>
      <c r="AA26" s="52">
        <f t="shared" si="20"/>
        <v>0</v>
      </c>
      <c r="AB26" s="52">
        <f t="shared" si="20"/>
        <v>0</v>
      </c>
      <c r="AC26" s="62">
        <f>SUM(T26:AB26)</f>
        <v>0</v>
      </c>
      <c r="AD26" s="41"/>
      <c r="AE26" s="2"/>
      <c r="AH26" s="2"/>
    </row>
    <row r="27" spans="1:35" ht="15" thickBot="1" x14ac:dyDescent="0.45">
      <c r="A27" s="54"/>
      <c r="B27" s="55"/>
      <c r="C27" s="55"/>
      <c r="D27" s="55"/>
      <c r="E27" s="55"/>
      <c r="F27" s="55"/>
      <c r="G27" s="43" t="s">
        <v>90</v>
      </c>
      <c r="H27" s="43">
        <f>IF($A$26="Front",VLOOKUP($Q27,'[1]Handicap Chart'!$B$4:$K$40,2),VLOOKUP($Q27,'[1]Handicap Chart'!$B$4:$K$40,10))</f>
        <v>1</v>
      </c>
      <c r="I27" s="43">
        <f>IF($A$26="Front",VLOOKUP($Q27,'[1]Handicap Chart'!$B$4:$K$40,4),VLOOKUP($Q27,'[1]Handicap Chart'!$B$4:$K$40,3))</f>
        <v>1</v>
      </c>
      <c r="J27" s="43">
        <f>IF($A$26="Front",VLOOKUP($Q27,'[1]Handicap Chart'!$B$4:$K$40,8),VLOOKUP($Q27,'[1]Handicap Chart'!$B$4:$K$40,6))</f>
        <v>1</v>
      </c>
      <c r="K27" s="43">
        <f>IF($A$26="Front",VLOOKUP($Q27,'[1]Handicap Chart'!$B$4:$K$40,9),VLOOKUP($Q27,'[1]Handicap Chart'!$B$4:$K$40,5))</f>
        <v>1</v>
      </c>
      <c r="L27" s="43">
        <f>IF($A$26="Front",VLOOKUP($Q27,'[1]Handicap Chart'!$B$4:$K$40,5),VLOOKUP($Q27,'[1]Handicap Chart'!$B$4:$K$40,4))</f>
        <v>1</v>
      </c>
      <c r="M27" s="43">
        <f>IF($A$26="Front",VLOOKUP($Q27,'[1]Handicap Chart'!$B$4:$K$40,10),VLOOKUP($Q27,'[1]Handicap Chart'!$B$4:$K$40,9))</f>
        <v>0</v>
      </c>
      <c r="N27" s="43">
        <f>IF($A$26="Front",VLOOKUP($Q27,'[1]Handicap Chart'!$B$4:$K$40,3),VLOOKUP($Q27,'[1]Handicap Chart'!$B$4:$K$40,7))</f>
        <v>1</v>
      </c>
      <c r="O27" s="43">
        <f>IF($A$26="Front",VLOOKUP($Q27,'[1]Handicap Chart'!$B$4:$K$40,7),VLOOKUP($Q27,'[1]Handicap Chart'!$B$4:$K$40,8))</f>
        <v>1</v>
      </c>
      <c r="P27" s="43">
        <f>IF($A$26="Front",VLOOKUP($Q27,'[1]Handicap Chart'!$B$4:$K$40,6),VLOOKUP($Q27,'[1]Handicap Chart'!$B$4:$K$40,2))</f>
        <v>1</v>
      </c>
      <c r="Q27" s="56">
        <f>VLOOKUP($C26,[1]Summary!$A$4:$BL$39,50, FALSE)</f>
        <v>8</v>
      </c>
      <c r="S27" s="57" t="s">
        <v>91</v>
      </c>
      <c r="T27" s="58">
        <f t="shared" ref="T27:AB27" si="21">IF(OR(EXACT($E26,"Y"),(EXACT($F26,"Y"))),"-",IF(H28-T28&gt;1,-1,IF(H28-T28=0,1,IF(H28-T28=-1,3,IF(H28-T28=-2,4,IF(H28-T28=-3,5,0))))))</f>
        <v>0</v>
      </c>
      <c r="U27" s="58">
        <f t="shared" si="21"/>
        <v>0</v>
      </c>
      <c r="V27" s="58">
        <f t="shared" si="21"/>
        <v>0</v>
      </c>
      <c r="W27" s="58">
        <f t="shared" si="21"/>
        <v>0</v>
      </c>
      <c r="X27" s="58">
        <f t="shared" si="21"/>
        <v>0</v>
      </c>
      <c r="Y27" s="58">
        <f t="shared" si="21"/>
        <v>5</v>
      </c>
      <c r="Z27" s="58">
        <f t="shared" si="21"/>
        <v>0</v>
      </c>
      <c r="AA27" s="58">
        <f t="shared" si="21"/>
        <v>0</v>
      </c>
      <c r="AB27" s="58">
        <f t="shared" si="21"/>
        <v>0</v>
      </c>
      <c r="AC27" s="59">
        <f>IF(EXACT(E26,"Y"),6,IF(EXACT(F26,"Y"),2,SUM(T27:AB27)))</f>
        <v>5</v>
      </c>
      <c r="AD27" s="41"/>
      <c r="AE27" s="2"/>
      <c r="AH27" s="2"/>
    </row>
    <row r="28" spans="1:35" ht="15" thickBot="1" x14ac:dyDescent="0.45">
      <c r="A28" s="54"/>
      <c r="B28" s="55"/>
      <c r="C28" s="55"/>
      <c r="D28" s="55"/>
      <c r="E28" s="55"/>
      <c r="F28" s="55"/>
      <c r="G28" s="60" t="s">
        <v>92</v>
      </c>
      <c r="H28" s="61">
        <f t="shared" ref="H28:P28" si="22">IF(OR(EXACT($E26,"Y"),(EXACT($F26,"Y"))),"-",H26-H27)</f>
        <v>-1</v>
      </c>
      <c r="I28" s="61">
        <f t="shared" si="22"/>
        <v>-1</v>
      </c>
      <c r="J28" s="61">
        <f t="shared" si="22"/>
        <v>-1</v>
      </c>
      <c r="K28" s="61">
        <f t="shared" si="22"/>
        <v>-1</v>
      </c>
      <c r="L28" s="61">
        <f t="shared" si="22"/>
        <v>-1</v>
      </c>
      <c r="M28" s="61">
        <f t="shared" si="22"/>
        <v>0</v>
      </c>
      <c r="N28" s="61">
        <f t="shared" si="22"/>
        <v>-1</v>
      </c>
      <c r="O28" s="61">
        <f t="shared" si="22"/>
        <v>-1</v>
      </c>
      <c r="P28" s="61">
        <f t="shared" si="22"/>
        <v>-1</v>
      </c>
      <c r="Q28" s="62">
        <f>SUM(H28:P28)</f>
        <v>-8</v>
      </c>
      <c r="S28" s="63" t="str">
        <f>$A$12</f>
        <v>Front</v>
      </c>
      <c r="T28" s="43">
        <f t="shared" ref="T28:AB28" si="23">IF($A$12="Front",T$1,T$2)</f>
        <v>4</v>
      </c>
      <c r="U28" s="43">
        <f t="shared" si="23"/>
        <v>3</v>
      </c>
      <c r="V28" s="43">
        <f t="shared" si="23"/>
        <v>4</v>
      </c>
      <c r="W28" s="43">
        <f t="shared" si="23"/>
        <v>5</v>
      </c>
      <c r="X28" s="43">
        <f t="shared" si="23"/>
        <v>4</v>
      </c>
      <c r="Y28" s="43">
        <f t="shared" si="23"/>
        <v>3</v>
      </c>
      <c r="Z28" s="43">
        <f t="shared" si="23"/>
        <v>4</v>
      </c>
      <c r="AA28" s="43">
        <f t="shared" si="23"/>
        <v>5</v>
      </c>
      <c r="AB28" s="43">
        <f t="shared" si="23"/>
        <v>4</v>
      </c>
      <c r="AC28" s="56">
        <f>SUM(T28:AB28)</f>
        <v>36</v>
      </c>
      <c r="AD28" s="41">
        <f>B23</f>
        <v>10</v>
      </c>
      <c r="AE28" s="81">
        <f>AC24+AC27</f>
        <v>10</v>
      </c>
      <c r="AF28" s="67">
        <f>IF(AC24&gt;=AC30,IF(AC24&gt;AC30,IF(AC27&gt;=AC33,IF(AC27&gt;AC33,4,3),2),IF(AC27&gt;=AC33,IF(AC27&gt;AC33,3,2),IF(AC27&gt;=AC33,IF(AC27&gt;AC33,2,1),1))),IF(AC27&gt;=AC33,IF(AC27&gt;AC33,2,1),0))</f>
        <v>3</v>
      </c>
      <c r="AG28" s="67">
        <f>IF(AE28&gt;AE34,4,IF(AE28=AE34,2,0))</f>
        <v>4</v>
      </c>
      <c r="AH28" s="68">
        <v>2</v>
      </c>
      <c r="AI28" s="68">
        <f>SUM(AF28:AH28)</f>
        <v>9</v>
      </c>
    </row>
    <row r="29" spans="1:35" x14ac:dyDescent="0.4">
      <c r="A29" s="64" t="s">
        <v>93</v>
      </c>
      <c r="B29" s="69">
        <v>12</v>
      </c>
      <c r="C29" s="70">
        <v>24</v>
      </c>
      <c r="D29" s="69" t="str">
        <f>VLOOKUP($C29,[1]Summary!$A$4:$BL$39,4, FALSE)</f>
        <v>Jake Huckestein</v>
      </c>
      <c r="E29" s="70"/>
      <c r="F29" s="70"/>
      <c r="G29" s="69" t="s">
        <v>88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f>SUM(H29:P29)</f>
        <v>0</v>
      </c>
      <c r="S29" s="66" t="s">
        <v>89</v>
      </c>
      <c r="T29" s="52">
        <f t="shared" ref="T29:AB29" si="24">IF(H29&gt;=T31+H30+2,SUM(T31+H30+2),H29)</f>
        <v>0</v>
      </c>
      <c r="U29" s="52">
        <f t="shared" si="24"/>
        <v>0</v>
      </c>
      <c r="V29" s="52">
        <f t="shared" si="24"/>
        <v>0</v>
      </c>
      <c r="W29" s="52">
        <f t="shared" si="24"/>
        <v>0</v>
      </c>
      <c r="X29" s="52">
        <f t="shared" si="24"/>
        <v>0</v>
      </c>
      <c r="Y29" s="52">
        <f t="shared" si="24"/>
        <v>0</v>
      </c>
      <c r="Z29" s="52">
        <f t="shared" si="24"/>
        <v>0</v>
      </c>
      <c r="AA29" s="52">
        <f t="shared" si="24"/>
        <v>0</v>
      </c>
      <c r="AB29" s="52">
        <f t="shared" si="24"/>
        <v>0</v>
      </c>
      <c r="AC29" s="62">
        <f>SUM(T29:AB29)</f>
        <v>0</v>
      </c>
      <c r="AD29" s="41"/>
      <c r="AE29" s="2"/>
      <c r="AH29" s="2"/>
    </row>
    <row r="30" spans="1:35" x14ac:dyDescent="0.4">
      <c r="A30" s="54"/>
      <c r="B30" s="55"/>
      <c r="C30" s="55"/>
      <c r="D30" s="55"/>
      <c r="E30" s="55"/>
      <c r="F30" s="55"/>
      <c r="G30" s="43" t="s">
        <v>90</v>
      </c>
      <c r="H30" s="43">
        <f>IF($A$26="Front",VLOOKUP($Q30,'[1]Handicap Chart'!$B$4:$K$40,2),VLOOKUP($Q30,'[1]Handicap Chart'!$B$4:$K$40,10))</f>
        <v>1</v>
      </c>
      <c r="I30" s="43">
        <f>IF($A$26="Front",VLOOKUP($Q30,'[1]Handicap Chart'!$B$4:$K$40,4),VLOOKUP($Q30,'[1]Handicap Chart'!$B$4:$K$40,3))</f>
        <v>1</v>
      </c>
      <c r="J30" s="43">
        <f>IF($A$26="Front",VLOOKUP($Q30,'[1]Handicap Chart'!$B$4:$K$40,8),VLOOKUP($Q30,'[1]Handicap Chart'!$B$4:$K$40,6))</f>
        <v>0</v>
      </c>
      <c r="K30" s="43">
        <f>IF($A$26="Front",VLOOKUP($Q30,'[1]Handicap Chart'!$B$4:$K$40,9),VLOOKUP($Q30,'[1]Handicap Chart'!$B$4:$K$40,5))</f>
        <v>0</v>
      </c>
      <c r="L30" s="43">
        <f>IF($A$26="Front",VLOOKUP($Q30,'[1]Handicap Chart'!$B$4:$K$40,5),VLOOKUP($Q30,'[1]Handicap Chart'!$B$4:$K$40,4))</f>
        <v>1</v>
      </c>
      <c r="M30" s="43">
        <f>IF($A$26="Front",VLOOKUP($Q30,'[1]Handicap Chart'!$B$4:$K$40,10),VLOOKUP($Q30,'[1]Handicap Chart'!$B$4:$K$40,9))</f>
        <v>0</v>
      </c>
      <c r="N30" s="43">
        <f>IF($A$26="Front",VLOOKUP($Q30,'[1]Handicap Chart'!$B$4:$K$40,3),VLOOKUP($Q30,'[1]Handicap Chart'!$B$4:$K$40,7))</f>
        <v>1</v>
      </c>
      <c r="O30" s="43">
        <f>IF($A$26="Front",VLOOKUP($Q30,'[1]Handicap Chart'!$B$4:$K$40,7),VLOOKUP($Q30,'[1]Handicap Chart'!$B$4:$K$40,8))</f>
        <v>0</v>
      </c>
      <c r="P30" s="43">
        <f>IF($A$26="Front",VLOOKUP($Q30,'[1]Handicap Chart'!$B$4:$K$40,6),VLOOKUP($Q30,'[1]Handicap Chart'!$B$4:$K$40,2))</f>
        <v>0</v>
      </c>
      <c r="Q30" s="56">
        <f>VLOOKUP($C29,[1]Summary!$A$4:$BL$39,50, FALSE)</f>
        <v>4</v>
      </c>
      <c r="S30" s="72" t="s">
        <v>91</v>
      </c>
      <c r="T30" s="72">
        <f>IF(OR(EXACT($E29,"Y"),(EXACT($F29,"Y"))),"-",IF(H31-T31&gt;1,-1,IF(H31-T31=0,1,IF(H31-T31=-1,3,IF(H31-T31=-2,4,IF(H31-T31=-3,5,0))))))</f>
        <v>0</v>
      </c>
      <c r="U30" s="72">
        <f t="shared" ref="U30:AB30" si="25">IF(OR(EXACT($E29,"Y"),(EXACT($F29,"Y"))),"-",IF(I31-U31&gt;1,-1,IF(I31-U31=0,1,IF(I31-U31=-1,3,IF(I31-U31=-2,4,IF(I31-U31=-3,5,0))))))</f>
        <v>0</v>
      </c>
      <c r="V30" s="72">
        <f t="shared" si="25"/>
        <v>0</v>
      </c>
      <c r="W30" s="72">
        <f t="shared" si="25"/>
        <v>0</v>
      </c>
      <c r="X30" s="72">
        <f t="shared" si="25"/>
        <v>0</v>
      </c>
      <c r="Y30" s="72">
        <f t="shared" si="25"/>
        <v>5</v>
      </c>
      <c r="Z30" s="72">
        <f t="shared" si="25"/>
        <v>0</v>
      </c>
      <c r="AA30" s="72">
        <f t="shared" si="25"/>
        <v>0</v>
      </c>
      <c r="AB30" s="72">
        <f t="shared" si="25"/>
        <v>0</v>
      </c>
      <c r="AC30" s="71">
        <f>IF(EXACT(E29,"Y"),6,IF(EXACT(F29,"Y"),2,SUM(T30:AB30)))</f>
        <v>5</v>
      </c>
      <c r="AD30" s="41"/>
      <c r="AE30" s="2"/>
      <c r="AH30" s="2"/>
    </row>
    <row r="31" spans="1:35" x14ac:dyDescent="0.4">
      <c r="A31" s="54"/>
      <c r="B31" s="55"/>
      <c r="C31" s="55"/>
      <c r="D31" s="55"/>
      <c r="E31" s="55"/>
      <c r="F31" s="55"/>
      <c r="G31" s="60" t="s">
        <v>92</v>
      </c>
      <c r="H31" s="61">
        <f t="shared" ref="H31:P31" si="26">IF(OR(EXACT($E29,"Y"),(EXACT($F29,"Y"))),"-",H29-H30)</f>
        <v>-1</v>
      </c>
      <c r="I31" s="61">
        <f t="shared" si="26"/>
        <v>-1</v>
      </c>
      <c r="J31" s="61">
        <f t="shared" si="26"/>
        <v>0</v>
      </c>
      <c r="K31" s="61">
        <f t="shared" si="26"/>
        <v>0</v>
      </c>
      <c r="L31" s="61">
        <f t="shared" si="26"/>
        <v>-1</v>
      </c>
      <c r="M31" s="61">
        <f t="shared" si="26"/>
        <v>0</v>
      </c>
      <c r="N31" s="61">
        <f t="shared" si="26"/>
        <v>-1</v>
      </c>
      <c r="O31" s="61">
        <f t="shared" si="26"/>
        <v>0</v>
      </c>
      <c r="P31" s="61">
        <f t="shared" si="26"/>
        <v>0</v>
      </c>
      <c r="Q31" s="62">
        <f>SUM(H31:P31)</f>
        <v>-4</v>
      </c>
      <c r="S31" s="63" t="str">
        <f>$A$12</f>
        <v>Front</v>
      </c>
      <c r="T31" s="43">
        <f t="shared" ref="T31:AB31" si="27">IF($A$12="Front",T$1,T$2)</f>
        <v>4</v>
      </c>
      <c r="U31" s="43">
        <f t="shared" si="27"/>
        <v>3</v>
      </c>
      <c r="V31" s="43">
        <f t="shared" si="27"/>
        <v>4</v>
      </c>
      <c r="W31" s="43">
        <f t="shared" si="27"/>
        <v>5</v>
      </c>
      <c r="X31" s="43">
        <f t="shared" si="27"/>
        <v>4</v>
      </c>
      <c r="Y31" s="43">
        <f t="shared" si="27"/>
        <v>3</v>
      </c>
      <c r="Z31" s="43">
        <f t="shared" si="27"/>
        <v>4</v>
      </c>
      <c r="AA31" s="43">
        <f t="shared" si="27"/>
        <v>5</v>
      </c>
      <c r="AB31" s="43">
        <f t="shared" si="27"/>
        <v>4</v>
      </c>
      <c r="AC31" s="56">
        <f>SUM(T31:AB31)</f>
        <v>36</v>
      </c>
      <c r="AD31" s="41"/>
      <c r="AE31" s="2"/>
      <c r="AH31" s="2"/>
    </row>
    <row r="32" spans="1:35" x14ac:dyDescent="0.4">
      <c r="A32" s="64" t="s">
        <v>95</v>
      </c>
      <c r="B32" s="69">
        <v>12</v>
      </c>
      <c r="C32" s="70">
        <v>23</v>
      </c>
      <c r="D32" s="69" t="str">
        <f>VLOOKUP($C32,[1]Summary!$A$4:$BL$39,4, FALSE)</f>
        <v>Gabe Lorenz</v>
      </c>
      <c r="E32" s="70"/>
      <c r="F32" s="70"/>
      <c r="G32" s="69" t="s">
        <v>88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f>SUM(H32:P32)</f>
        <v>0</v>
      </c>
      <c r="S32" s="66" t="s">
        <v>89</v>
      </c>
      <c r="T32" s="52">
        <f t="shared" ref="T32:AB32" si="28">IF(H32&gt;=T34+H33+2,SUM(T34+H33+2),H32)</f>
        <v>0</v>
      </c>
      <c r="U32" s="52">
        <f t="shared" si="28"/>
        <v>0</v>
      </c>
      <c r="V32" s="52">
        <f t="shared" si="28"/>
        <v>0</v>
      </c>
      <c r="W32" s="52">
        <f t="shared" si="28"/>
        <v>0</v>
      </c>
      <c r="X32" s="52">
        <f t="shared" si="28"/>
        <v>0</v>
      </c>
      <c r="Y32" s="52">
        <f t="shared" si="28"/>
        <v>0</v>
      </c>
      <c r="Z32" s="52">
        <f t="shared" si="28"/>
        <v>0</v>
      </c>
      <c r="AA32" s="52">
        <f t="shared" si="28"/>
        <v>0</v>
      </c>
      <c r="AB32" s="52">
        <f t="shared" si="28"/>
        <v>0</v>
      </c>
      <c r="AC32" s="62">
        <f>SUM(T32:AB32)</f>
        <v>0</v>
      </c>
      <c r="AD32" s="41"/>
      <c r="AE32" s="2"/>
      <c r="AH32" s="2"/>
    </row>
    <row r="33" spans="1:35" ht="15" thickBot="1" x14ac:dyDescent="0.45">
      <c r="A33" s="54"/>
      <c r="B33" s="55"/>
      <c r="C33" s="55"/>
      <c r="D33" s="55"/>
      <c r="E33" s="55"/>
      <c r="F33" s="55"/>
      <c r="G33" s="43" t="s">
        <v>90</v>
      </c>
      <c r="H33" s="43">
        <f>IF($A$26="Front",VLOOKUP($Q33,'[1]Handicap Chart'!$B$4:$K$40,2),VLOOKUP($Q33,'[1]Handicap Chart'!$B$4:$K$40,10))</f>
        <v>2</v>
      </c>
      <c r="I33" s="43">
        <f>IF($A$26="Front",VLOOKUP($Q33,'[1]Handicap Chart'!$B$4:$K$40,4),VLOOKUP($Q33,'[1]Handicap Chart'!$B$4:$K$40,3))</f>
        <v>2</v>
      </c>
      <c r="J33" s="43">
        <f>IF($A$26="Front",VLOOKUP($Q33,'[1]Handicap Chart'!$B$4:$K$40,8),VLOOKUP($Q33,'[1]Handicap Chart'!$B$4:$K$40,6))</f>
        <v>1</v>
      </c>
      <c r="K33" s="43">
        <f>IF($A$26="Front",VLOOKUP($Q33,'[1]Handicap Chart'!$B$4:$K$40,9),VLOOKUP($Q33,'[1]Handicap Chart'!$B$4:$K$40,5))</f>
        <v>1</v>
      </c>
      <c r="L33" s="43">
        <f>IF($A$26="Front",VLOOKUP($Q33,'[1]Handicap Chart'!$B$4:$K$40,5),VLOOKUP($Q33,'[1]Handicap Chart'!$B$4:$K$40,4))</f>
        <v>2</v>
      </c>
      <c r="M33" s="43">
        <f>IF($A$26="Front",VLOOKUP($Q33,'[1]Handicap Chart'!$B$4:$K$40,10),VLOOKUP($Q33,'[1]Handicap Chart'!$B$4:$K$40,9))</f>
        <v>1</v>
      </c>
      <c r="N33" s="43">
        <f>IF($A$26="Front",VLOOKUP($Q33,'[1]Handicap Chart'!$B$4:$K$40,3),VLOOKUP($Q33,'[1]Handicap Chart'!$B$4:$K$40,7))</f>
        <v>2</v>
      </c>
      <c r="O33" s="43">
        <f>IF($A$26="Front",VLOOKUP($Q33,'[1]Handicap Chart'!$B$4:$K$40,7),VLOOKUP($Q33,'[1]Handicap Chart'!$B$4:$K$40,8))</f>
        <v>1</v>
      </c>
      <c r="P33" s="43">
        <f>IF($A$26="Front",VLOOKUP($Q33,'[1]Handicap Chart'!$B$4:$K$40,6),VLOOKUP($Q33,'[1]Handicap Chart'!$B$4:$K$40,2))</f>
        <v>1</v>
      </c>
      <c r="Q33" s="56">
        <f>VLOOKUP($C32,[1]Summary!$A$4:$BL$39,50, FALSE)</f>
        <v>13</v>
      </c>
      <c r="S33" s="72" t="s">
        <v>91</v>
      </c>
      <c r="T33" s="72">
        <f>IF(OR(EXACT($E32,"Y"),(EXACT($F32,"Y"))),"-",IF(H34-T34&gt;1,-1,IF(H34-T34=0,1,IF(H34-T34=-1,3,IF(H34-T34=-2,4,IF(H34-T34=-3,5,0))))))</f>
        <v>0</v>
      </c>
      <c r="U33" s="72">
        <f t="shared" ref="U33:AB33" si="29">IF(OR(EXACT($E32,"Y"),(EXACT($F32,"Y"))),"-",IF(I34-U34&gt;1,-1,IF(I34-U34=0,1,IF(I34-U34=-1,3,IF(I34-U34=-2,4,IF(I34-U34=-3,5,0))))))</f>
        <v>0</v>
      </c>
      <c r="V33" s="72">
        <f t="shared" si="29"/>
        <v>0</v>
      </c>
      <c r="W33" s="72">
        <f t="shared" si="29"/>
        <v>0</v>
      </c>
      <c r="X33" s="72">
        <f t="shared" si="29"/>
        <v>0</v>
      </c>
      <c r="Y33" s="72">
        <f t="shared" si="29"/>
        <v>0</v>
      </c>
      <c r="Z33" s="72">
        <f t="shared" si="29"/>
        <v>0</v>
      </c>
      <c r="AA33" s="72">
        <f t="shared" si="29"/>
        <v>0</v>
      </c>
      <c r="AB33" s="72">
        <f t="shared" si="29"/>
        <v>0</v>
      </c>
      <c r="AC33" s="71">
        <f>IF(EXACT(E32,"Y"),6,IF(EXACT(F32,"Y"),2,SUM(T33:AB33)))</f>
        <v>0</v>
      </c>
      <c r="AD33" s="41"/>
      <c r="AE33" s="2"/>
      <c r="AH33" s="2"/>
    </row>
    <row r="34" spans="1:35" ht="15" thickBot="1" x14ac:dyDescent="0.45">
      <c r="A34" s="73"/>
      <c r="B34" s="74"/>
      <c r="C34" s="74"/>
      <c r="D34" s="74"/>
      <c r="E34" s="74"/>
      <c r="F34" s="74"/>
      <c r="G34" s="75" t="s">
        <v>92</v>
      </c>
      <c r="H34" s="61">
        <f t="shared" ref="H34:P34" si="30">IF(OR(EXACT($E32,"Y"),(EXACT($F32,"Y"))),"-",H32-H33)</f>
        <v>-2</v>
      </c>
      <c r="I34" s="61">
        <f t="shared" si="30"/>
        <v>-2</v>
      </c>
      <c r="J34" s="61">
        <f t="shared" si="30"/>
        <v>-1</v>
      </c>
      <c r="K34" s="61">
        <f t="shared" si="30"/>
        <v>-1</v>
      </c>
      <c r="L34" s="61">
        <f t="shared" si="30"/>
        <v>-2</v>
      </c>
      <c r="M34" s="61">
        <f t="shared" si="30"/>
        <v>-1</v>
      </c>
      <c r="N34" s="61">
        <f t="shared" si="30"/>
        <v>-2</v>
      </c>
      <c r="O34" s="61">
        <f t="shared" si="30"/>
        <v>-1</v>
      </c>
      <c r="P34" s="61">
        <f t="shared" si="30"/>
        <v>-1</v>
      </c>
      <c r="Q34" s="76">
        <f>SUM(H34:P34)</f>
        <v>-13</v>
      </c>
      <c r="S34" s="28" t="str">
        <f>$A$12</f>
        <v>Front</v>
      </c>
      <c r="T34" s="77">
        <f t="shared" ref="T34:AB34" si="31">IF($A$12="Front",T$1,T$2)</f>
        <v>4</v>
      </c>
      <c r="U34" s="77">
        <f t="shared" si="31"/>
        <v>3</v>
      </c>
      <c r="V34" s="77">
        <f t="shared" si="31"/>
        <v>4</v>
      </c>
      <c r="W34" s="77">
        <f t="shared" si="31"/>
        <v>5</v>
      </c>
      <c r="X34" s="77">
        <f t="shared" si="31"/>
        <v>4</v>
      </c>
      <c r="Y34" s="77">
        <f t="shared" si="31"/>
        <v>3</v>
      </c>
      <c r="Z34" s="77">
        <f t="shared" si="31"/>
        <v>4</v>
      </c>
      <c r="AA34" s="77">
        <f t="shared" si="31"/>
        <v>5</v>
      </c>
      <c r="AB34" s="77">
        <f t="shared" si="31"/>
        <v>4</v>
      </c>
      <c r="AC34" s="78">
        <f>SUM(T34:AB34)</f>
        <v>36</v>
      </c>
      <c r="AD34" s="41">
        <f>B29</f>
        <v>12</v>
      </c>
      <c r="AE34" s="79">
        <f>AC30+AC33</f>
        <v>5</v>
      </c>
      <c r="AF34" s="79">
        <f>IF(AC30&gt;=AC24,IF(AC30&gt;AC24,IF(AC33&gt;=AC27,IF(AC33&gt;AC27,4,3),2),IF(AC33&gt;=AC27,IF(AC33&gt;AC27,3,2),IF(AC33&gt;=AC27,IF(AC33&gt;AC27,2,1),1))),IF(AC33&gt;=AC27,IF(AC33&gt;AC27,2,1),0))</f>
        <v>1</v>
      </c>
      <c r="AG34" s="79">
        <f>IF(AE34&gt;AE28,4,IF(AE34=AE28,2,0))</f>
        <v>0</v>
      </c>
      <c r="AH34" s="80">
        <v>4</v>
      </c>
      <c r="AI34" s="80">
        <f>SUM(AF34:AH34)</f>
        <v>5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45">
      <c r="A36" s="43" t="s">
        <v>81</v>
      </c>
      <c r="B36" s="43" t="s">
        <v>0</v>
      </c>
      <c r="C36" s="43" t="s">
        <v>6</v>
      </c>
      <c r="D36" s="43" t="s">
        <v>83</v>
      </c>
      <c r="E36" s="43" t="s">
        <v>84</v>
      </c>
      <c r="F36" s="43" t="s">
        <v>85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86</v>
      </c>
      <c r="S36" s="44" t="s">
        <v>87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4">
      <c r="A37" s="47">
        <v>3</v>
      </c>
      <c r="B37" s="48">
        <v>13</v>
      </c>
      <c r="C37" s="49">
        <v>26</v>
      </c>
      <c r="D37" s="48" t="str">
        <f>VLOOKUP($C37,[1]Summary!$A$4:$D$39,4, FALSE)</f>
        <v>Gordon Hammond</v>
      </c>
      <c r="E37" s="49"/>
      <c r="F37" s="49"/>
      <c r="G37" s="48" t="s">
        <v>88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f>SUM(H37:P37)</f>
        <v>0</v>
      </c>
      <c r="S37" s="51" t="s">
        <v>89</v>
      </c>
      <c r="T37" s="52">
        <f t="shared" ref="T37:AB37" si="32">IF(H37&gt;=T39+H38+2,SUM(T39+H38+2),H37)</f>
        <v>0</v>
      </c>
      <c r="U37" s="52">
        <f t="shared" si="32"/>
        <v>0</v>
      </c>
      <c r="V37" s="52">
        <f t="shared" si="32"/>
        <v>0</v>
      </c>
      <c r="W37" s="52">
        <f t="shared" si="32"/>
        <v>0</v>
      </c>
      <c r="X37" s="52">
        <f t="shared" si="32"/>
        <v>0</v>
      </c>
      <c r="Y37" s="52">
        <f t="shared" si="32"/>
        <v>0</v>
      </c>
      <c r="Z37" s="52">
        <f t="shared" si="32"/>
        <v>0</v>
      </c>
      <c r="AA37" s="52">
        <f t="shared" si="32"/>
        <v>0</v>
      </c>
      <c r="AB37" s="52">
        <f t="shared" si="32"/>
        <v>0</v>
      </c>
      <c r="AC37" s="53">
        <f>SUM(T37:AB37)</f>
        <v>0</v>
      </c>
      <c r="AD37" s="41"/>
      <c r="AE37" s="2"/>
      <c r="AH37" s="2"/>
    </row>
    <row r="38" spans="1:35" x14ac:dyDescent="0.4">
      <c r="A38" s="54"/>
      <c r="B38" s="55"/>
      <c r="C38" s="55"/>
      <c r="D38" s="55"/>
      <c r="E38" s="55"/>
      <c r="F38" s="55"/>
      <c r="G38" s="43" t="s">
        <v>90</v>
      </c>
      <c r="H38" s="43">
        <f>IF($A$40="Front",VLOOKUP($Q38,'[1]Handicap Chart'!$B$4:$K$40,2),VLOOKUP($Q38,'[1]Handicap Chart'!$B$4:$K$40,10))</f>
        <v>2</v>
      </c>
      <c r="I38" s="43">
        <f>IF($A$40="Front",VLOOKUP($Q38,'[1]Handicap Chart'!$B$4:$K$40,4),VLOOKUP($Q38,'[1]Handicap Chart'!$B$4:$K$40,3))</f>
        <v>1</v>
      </c>
      <c r="J38" s="43">
        <f>IF($A$40="Front",VLOOKUP($Q38,'[1]Handicap Chart'!$B$4:$K$40,8),VLOOKUP($Q38,'[1]Handicap Chart'!$B$4:$K$40,6))</f>
        <v>1</v>
      </c>
      <c r="K38" s="43">
        <f>IF($A$40="Front",VLOOKUP($Q38,'[1]Handicap Chart'!$B$4:$K$40,9),VLOOKUP($Q38,'[1]Handicap Chart'!$B$4:$K$40,5))</f>
        <v>1</v>
      </c>
      <c r="L38" s="43">
        <f>IF($A$40="Front",VLOOKUP($Q38,'[1]Handicap Chart'!$B$4:$K$40,5),VLOOKUP($Q38,'[1]Handicap Chart'!$B$4:$K$40,4))</f>
        <v>1</v>
      </c>
      <c r="M38" s="43">
        <f>IF($A$40="Front",VLOOKUP($Q38,'[1]Handicap Chart'!$B$4:$K$40,10),VLOOKUP($Q38,'[1]Handicap Chart'!$B$4:$K$40,9))</f>
        <v>1</v>
      </c>
      <c r="N38" s="43">
        <f>IF($A$40="Front",VLOOKUP($Q38,'[1]Handicap Chart'!$B$4:$K$40,3),VLOOKUP($Q38,'[1]Handicap Chart'!$B$4:$K$40,7))</f>
        <v>2</v>
      </c>
      <c r="O38" s="43">
        <f>IF($A$40="Front",VLOOKUP($Q38,'[1]Handicap Chart'!$B$4:$K$40,7),VLOOKUP($Q38,'[1]Handicap Chart'!$B$4:$K$40,8))</f>
        <v>1</v>
      </c>
      <c r="P38" s="43">
        <f>IF($A$40="Front",VLOOKUP($Q38,'[1]Handicap Chart'!$B$4:$K$40,6),VLOOKUP($Q38,'[1]Handicap Chart'!$B$4:$K$40,2))</f>
        <v>1</v>
      </c>
      <c r="Q38" s="56">
        <f>VLOOKUP($C37,[1]Summary!$A$4:$BL$39,50, FALSE)</f>
        <v>11</v>
      </c>
      <c r="S38" s="57" t="s">
        <v>91</v>
      </c>
      <c r="T38" s="58">
        <f t="shared" ref="T38:AB38" si="33">IF(OR(EXACT($E37,"Y"),(EXACT($F37,"Y"))),"-",IF(H39-T39&gt;1,-1,IF(H39-T39=0,1,IF(H39-T39=-1,3,IF(H39-T39=-2,4,IF(H39-T39=-3,5,0))))))</f>
        <v>0</v>
      </c>
      <c r="U38" s="58">
        <f t="shared" si="33"/>
        <v>0</v>
      </c>
      <c r="V38" s="58">
        <f t="shared" si="33"/>
        <v>0</v>
      </c>
      <c r="W38" s="58">
        <f t="shared" si="33"/>
        <v>0</v>
      </c>
      <c r="X38" s="58">
        <f t="shared" si="33"/>
        <v>0</v>
      </c>
      <c r="Y38" s="58">
        <f t="shared" si="33"/>
        <v>0</v>
      </c>
      <c r="Z38" s="58">
        <f t="shared" si="33"/>
        <v>0</v>
      </c>
      <c r="AA38" s="58">
        <f t="shared" si="33"/>
        <v>0</v>
      </c>
      <c r="AB38" s="58">
        <f t="shared" si="33"/>
        <v>0</v>
      </c>
      <c r="AC38" s="59">
        <f>IF(EXACT(E37,"Y"),6,IF(EXACT(F37,"Y"),2,SUM(T38:AB38)))</f>
        <v>0</v>
      </c>
      <c r="AD38" s="41"/>
      <c r="AE38" s="2"/>
      <c r="AH38" s="2"/>
    </row>
    <row r="39" spans="1:35" ht="15" thickBot="1" x14ac:dyDescent="0.45">
      <c r="A39" s="54"/>
      <c r="B39" s="55"/>
      <c r="C39" s="55"/>
      <c r="D39" s="55"/>
      <c r="E39" s="55"/>
      <c r="F39" s="55"/>
      <c r="G39" s="60" t="s">
        <v>92</v>
      </c>
      <c r="H39" s="61">
        <f t="shared" ref="H39:P39" si="34">IF(OR(EXACT($E37,"Y"),(EXACT($F37,"Y"))),"-",H37-H38)</f>
        <v>-2</v>
      </c>
      <c r="I39" s="61">
        <f t="shared" si="34"/>
        <v>-1</v>
      </c>
      <c r="J39" s="61">
        <f t="shared" si="34"/>
        <v>-1</v>
      </c>
      <c r="K39" s="61">
        <f t="shared" si="34"/>
        <v>-1</v>
      </c>
      <c r="L39" s="61">
        <f t="shared" si="34"/>
        <v>-1</v>
      </c>
      <c r="M39" s="61">
        <f t="shared" si="34"/>
        <v>-1</v>
      </c>
      <c r="N39" s="61">
        <f t="shared" si="34"/>
        <v>-2</v>
      </c>
      <c r="O39" s="61">
        <f t="shared" si="34"/>
        <v>-1</v>
      </c>
      <c r="P39" s="61">
        <f t="shared" si="34"/>
        <v>-1</v>
      </c>
      <c r="Q39" s="62">
        <f>SUM(H39:P39)</f>
        <v>-11</v>
      </c>
      <c r="S39" s="63" t="str">
        <f>$A$12</f>
        <v>Front</v>
      </c>
      <c r="T39" s="43">
        <f t="shared" ref="T39:AB39" si="35">IF($A$12="Front",T$1,T$2)</f>
        <v>4</v>
      </c>
      <c r="U39" s="43">
        <f t="shared" si="35"/>
        <v>3</v>
      </c>
      <c r="V39" s="43">
        <f t="shared" si="35"/>
        <v>4</v>
      </c>
      <c r="W39" s="43">
        <f t="shared" si="35"/>
        <v>5</v>
      </c>
      <c r="X39" s="43">
        <f t="shared" si="35"/>
        <v>4</v>
      </c>
      <c r="Y39" s="43">
        <f t="shared" si="35"/>
        <v>3</v>
      </c>
      <c r="Z39" s="43">
        <f t="shared" si="35"/>
        <v>4</v>
      </c>
      <c r="AA39" s="43">
        <f t="shared" si="35"/>
        <v>5</v>
      </c>
      <c r="AB39" s="43">
        <f t="shared" si="35"/>
        <v>4</v>
      </c>
      <c r="AC39" s="56">
        <f>SUM(T39:AB39)</f>
        <v>36</v>
      </c>
      <c r="AD39" s="41"/>
      <c r="AE39" s="2"/>
      <c r="AH39" s="2"/>
    </row>
    <row r="40" spans="1:35" x14ac:dyDescent="0.4">
      <c r="A40" s="64" t="s">
        <v>73</v>
      </c>
      <c r="B40" s="58">
        <v>13</v>
      </c>
      <c r="C40" s="65">
        <v>25</v>
      </c>
      <c r="D40" s="48" t="str">
        <f>VLOOKUP($C40,[1]Summary!$A$4:$D$39,4, FALSE)</f>
        <v>Betsy Wagner</v>
      </c>
      <c r="E40" s="65"/>
      <c r="F40" s="65"/>
      <c r="G40" s="58" t="s">
        <v>88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f>SUM(H40:P40)</f>
        <v>0</v>
      </c>
      <c r="S40" s="66" t="s">
        <v>89</v>
      </c>
      <c r="T40" s="52">
        <f>IF(H40&gt;=T42+H41+2,SUM(T42+H41+2),H40)</f>
        <v>0</v>
      </c>
      <c r="U40" s="52">
        <f t="shared" ref="U40:AB40" si="36">IF(I40&gt;=U42+I41+2,SUM(U42+I41+2),I40)</f>
        <v>0</v>
      </c>
      <c r="V40" s="52">
        <f t="shared" si="36"/>
        <v>0</v>
      </c>
      <c r="W40" s="52">
        <f t="shared" si="36"/>
        <v>0</v>
      </c>
      <c r="X40" s="52">
        <f t="shared" si="36"/>
        <v>0</v>
      </c>
      <c r="Y40" s="52">
        <f t="shared" si="36"/>
        <v>0</v>
      </c>
      <c r="Z40" s="52">
        <f t="shared" si="36"/>
        <v>0</v>
      </c>
      <c r="AA40" s="52">
        <f t="shared" si="36"/>
        <v>0</v>
      </c>
      <c r="AB40" s="52">
        <f t="shared" si="36"/>
        <v>0</v>
      </c>
      <c r="AC40" s="62">
        <f>SUM(T40:AB40)</f>
        <v>0</v>
      </c>
      <c r="AD40" s="41"/>
      <c r="AE40" s="2"/>
      <c r="AH40" s="2"/>
    </row>
    <row r="41" spans="1:35" ht="15" thickBot="1" x14ac:dyDescent="0.45">
      <c r="A41" s="54"/>
      <c r="B41" s="55"/>
      <c r="C41" s="55"/>
      <c r="D41" s="55"/>
      <c r="E41" s="55"/>
      <c r="F41" s="55"/>
      <c r="G41" s="43" t="s">
        <v>90</v>
      </c>
      <c r="H41" s="43">
        <f>IF($A$40="Front",VLOOKUP($Q41,'[1]Handicap Chart'!$B$4:$K$40,2),VLOOKUP($Q41,'[1]Handicap Chart'!$B$4:$K$40,10))</f>
        <v>2</v>
      </c>
      <c r="I41" s="43">
        <f>IF($A$40="Front",VLOOKUP($Q41,'[1]Handicap Chart'!$B$4:$K$40,4),VLOOKUP($Q41,'[1]Handicap Chart'!$B$4:$K$40,3))</f>
        <v>2</v>
      </c>
      <c r="J41" s="43">
        <f>IF($A$40="Front",VLOOKUP($Q41,'[1]Handicap Chart'!$B$4:$K$40,8),VLOOKUP($Q41,'[1]Handicap Chart'!$B$4:$K$40,6))</f>
        <v>2</v>
      </c>
      <c r="K41" s="43">
        <f>IF($A$40="Front",VLOOKUP($Q41,'[1]Handicap Chart'!$B$4:$K$40,9),VLOOKUP($Q41,'[1]Handicap Chart'!$B$4:$K$40,5))</f>
        <v>2</v>
      </c>
      <c r="L41" s="43">
        <f>IF($A$40="Front",VLOOKUP($Q41,'[1]Handicap Chart'!$B$4:$K$40,5),VLOOKUP($Q41,'[1]Handicap Chart'!$B$4:$K$40,4))</f>
        <v>2</v>
      </c>
      <c r="M41" s="43">
        <f>IF($A$40="Front",VLOOKUP($Q41,'[1]Handicap Chart'!$B$4:$K$40,10),VLOOKUP($Q41,'[1]Handicap Chart'!$B$4:$K$40,9))</f>
        <v>2</v>
      </c>
      <c r="N41" s="43">
        <f>IF($A$40="Front",VLOOKUP($Q41,'[1]Handicap Chart'!$B$4:$K$40,3),VLOOKUP($Q41,'[1]Handicap Chart'!$B$4:$K$40,7))</f>
        <v>2</v>
      </c>
      <c r="O41" s="43">
        <f>IF($A$40="Front",VLOOKUP($Q41,'[1]Handicap Chart'!$B$4:$K$40,7),VLOOKUP($Q41,'[1]Handicap Chart'!$B$4:$K$40,8))</f>
        <v>2</v>
      </c>
      <c r="P41" s="43">
        <f>IF($A$40="Front",VLOOKUP($Q41,'[1]Handicap Chart'!$B$4:$K$40,6),VLOOKUP($Q41,'[1]Handicap Chart'!$B$4:$K$40,2))</f>
        <v>2</v>
      </c>
      <c r="Q41" s="56">
        <f>VLOOKUP($C40,[1]Summary!$A$4:$BL$39,50, FALSE)</f>
        <v>18</v>
      </c>
      <c r="S41" s="57" t="s">
        <v>91</v>
      </c>
      <c r="T41" s="58">
        <f t="shared" ref="T41:AB41" si="37">IF(OR(EXACT($E40,"Y"),(EXACT($F40,"Y"))),"-",IF(H42-T42&gt;1,-1,IF(H42-T42=0,1,IF(H42-T42=-1,3,IF(H42-T42=-2,4,IF(H42-T42=-3,5,0))))))</f>
        <v>0</v>
      </c>
      <c r="U41" s="58">
        <f t="shared" si="37"/>
        <v>0</v>
      </c>
      <c r="V41" s="58">
        <f t="shared" si="37"/>
        <v>0</v>
      </c>
      <c r="W41" s="58">
        <f t="shared" si="37"/>
        <v>0</v>
      </c>
      <c r="X41" s="58">
        <f t="shared" si="37"/>
        <v>0</v>
      </c>
      <c r="Y41" s="58">
        <f t="shared" si="37"/>
        <v>0</v>
      </c>
      <c r="Z41" s="58">
        <f t="shared" si="37"/>
        <v>0</v>
      </c>
      <c r="AA41" s="58">
        <f t="shared" si="37"/>
        <v>0</v>
      </c>
      <c r="AB41" s="58">
        <f t="shared" si="37"/>
        <v>0</v>
      </c>
      <c r="AC41" s="59">
        <f>IF(EXACT(E40,"Y"),6,IF(EXACT(F40,"Y"),2,SUM(T41:AB41)))</f>
        <v>0</v>
      </c>
      <c r="AD41" s="41"/>
      <c r="AE41" s="2"/>
      <c r="AH41" s="2"/>
    </row>
    <row r="42" spans="1:35" ht="15" thickBot="1" x14ac:dyDescent="0.45">
      <c r="A42" s="54"/>
      <c r="B42" s="55"/>
      <c r="C42" s="55"/>
      <c r="D42" s="55"/>
      <c r="E42" s="55"/>
      <c r="F42" s="55"/>
      <c r="G42" s="60" t="s">
        <v>92</v>
      </c>
      <c r="H42" s="61">
        <f t="shared" ref="H42:P42" si="38">IF(OR(EXACT($E40,"Y"),(EXACT($F40,"Y"))),"-",H40-H41)</f>
        <v>-2</v>
      </c>
      <c r="I42" s="61">
        <f t="shared" si="38"/>
        <v>-2</v>
      </c>
      <c r="J42" s="61">
        <f t="shared" si="38"/>
        <v>-2</v>
      </c>
      <c r="K42" s="61">
        <f t="shared" si="38"/>
        <v>-2</v>
      </c>
      <c r="L42" s="61">
        <f t="shared" si="38"/>
        <v>-2</v>
      </c>
      <c r="M42" s="61">
        <f t="shared" si="38"/>
        <v>-2</v>
      </c>
      <c r="N42" s="61">
        <f t="shared" si="38"/>
        <v>-2</v>
      </c>
      <c r="O42" s="61">
        <f t="shared" si="38"/>
        <v>-2</v>
      </c>
      <c r="P42" s="61">
        <f t="shared" si="38"/>
        <v>-2</v>
      </c>
      <c r="Q42" s="62">
        <f>SUM(H42:P42)</f>
        <v>-18</v>
      </c>
      <c r="S42" s="63" t="str">
        <f>$A$12</f>
        <v>Front</v>
      </c>
      <c r="T42" s="43">
        <f t="shared" ref="T42:AB42" si="39">IF($A$12="Front",T$1,T$2)</f>
        <v>4</v>
      </c>
      <c r="U42" s="43">
        <f t="shared" si="39"/>
        <v>3</v>
      </c>
      <c r="V42" s="43">
        <f t="shared" si="39"/>
        <v>4</v>
      </c>
      <c r="W42" s="43">
        <f t="shared" si="39"/>
        <v>5</v>
      </c>
      <c r="X42" s="43">
        <f t="shared" si="39"/>
        <v>4</v>
      </c>
      <c r="Y42" s="43">
        <f t="shared" si="39"/>
        <v>3</v>
      </c>
      <c r="Z42" s="43">
        <f t="shared" si="39"/>
        <v>4</v>
      </c>
      <c r="AA42" s="43">
        <f t="shared" si="39"/>
        <v>5</v>
      </c>
      <c r="AB42" s="43">
        <f t="shared" si="39"/>
        <v>4</v>
      </c>
      <c r="AC42" s="56">
        <f>SUM(T42:AB42)</f>
        <v>36</v>
      </c>
      <c r="AD42" s="41">
        <f>B37</f>
        <v>13</v>
      </c>
      <c r="AE42" s="81">
        <f>AC38+AC41</f>
        <v>0</v>
      </c>
      <c r="AF42" s="67">
        <f>IF(AC38&gt;=AC44,IF(AC38&gt;AC44,IF(AC41&gt;=AC47,IF(AC41&gt;AC47,4,3),2),IF(AC41&gt;=AC47,IF(AC41&gt;AC47,3,2),IF(AC41&gt;=AC47,IF(AC41&gt;AC47,2,1),1))),IF(AC41&gt;=AC47,IF(AC41&gt;AC47,2,1),0))</f>
        <v>2</v>
      </c>
      <c r="AG42" s="67">
        <f>IF(AE42&gt;AE48,4,IF(AE42=AE48,2,0))</f>
        <v>2</v>
      </c>
      <c r="AH42" s="68">
        <v>0</v>
      </c>
      <c r="AI42" s="68">
        <f>SUM(AF42:AH42)</f>
        <v>4</v>
      </c>
    </row>
    <row r="43" spans="1:35" x14ac:dyDescent="0.4">
      <c r="A43" s="64" t="s">
        <v>93</v>
      </c>
      <c r="B43" s="69">
        <v>7</v>
      </c>
      <c r="C43" s="70">
        <v>14</v>
      </c>
      <c r="D43" s="69" t="str">
        <f>VLOOKUP($C43,[1]Summary!$A$4:$D$39,4, FALSE)</f>
        <v>Jeff Rowles</v>
      </c>
      <c r="E43" s="70"/>
      <c r="F43" s="70"/>
      <c r="G43" s="69" t="s">
        <v>88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f>SUM(H43:P43)</f>
        <v>0</v>
      </c>
      <c r="S43" s="66" t="s">
        <v>89</v>
      </c>
      <c r="T43" s="52">
        <f t="shared" ref="T43:AB43" si="40">IF(H43&gt;=T45+H44+2,SUM(T45+H44+2),H43)</f>
        <v>0</v>
      </c>
      <c r="U43" s="52">
        <f t="shared" si="40"/>
        <v>0</v>
      </c>
      <c r="V43" s="52">
        <f t="shared" si="40"/>
        <v>0</v>
      </c>
      <c r="W43" s="52">
        <f t="shared" si="40"/>
        <v>0</v>
      </c>
      <c r="X43" s="52">
        <f t="shared" si="40"/>
        <v>0</v>
      </c>
      <c r="Y43" s="52">
        <f t="shared" si="40"/>
        <v>0</v>
      </c>
      <c r="Z43" s="52">
        <f t="shared" si="40"/>
        <v>0</v>
      </c>
      <c r="AA43" s="52">
        <f t="shared" si="40"/>
        <v>0</v>
      </c>
      <c r="AB43" s="52">
        <f t="shared" si="40"/>
        <v>0</v>
      </c>
      <c r="AC43" s="62">
        <f>SUM(T43:AB43)</f>
        <v>0</v>
      </c>
      <c r="AD43" s="41"/>
      <c r="AE43" s="2"/>
      <c r="AH43" s="2"/>
    </row>
    <row r="44" spans="1:35" x14ac:dyDescent="0.4">
      <c r="A44" s="54"/>
      <c r="B44" s="55">
        <v>7</v>
      </c>
      <c r="C44" s="55"/>
      <c r="D44" s="55"/>
      <c r="E44" s="55"/>
      <c r="F44" s="55"/>
      <c r="G44" s="43" t="s">
        <v>90</v>
      </c>
      <c r="H44" s="43">
        <f>IF($A$40="Front",VLOOKUP($Q44,'[1]Handicap Chart'!$B$4:$K$40,2),VLOOKUP($Q44,'[1]Handicap Chart'!$B$4:$K$40,10))</f>
        <v>2</v>
      </c>
      <c r="I44" s="43">
        <f>IF($A$40="Front",VLOOKUP($Q44,'[1]Handicap Chart'!$B$4:$K$40,4),VLOOKUP($Q44,'[1]Handicap Chart'!$B$4:$K$40,3))</f>
        <v>1</v>
      </c>
      <c r="J44" s="43">
        <f>IF($A$40="Front",VLOOKUP($Q44,'[1]Handicap Chart'!$B$4:$K$40,8),VLOOKUP($Q44,'[1]Handicap Chart'!$B$4:$K$40,6))</f>
        <v>1</v>
      </c>
      <c r="K44" s="43">
        <f>IF($A$40="Front",VLOOKUP($Q44,'[1]Handicap Chart'!$B$4:$K$40,9),VLOOKUP($Q44,'[1]Handicap Chart'!$B$4:$K$40,5))</f>
        <v>1</v>
      </c>
      <c r="L44" s="43">
        <f>IF($A$40="Front",VLOOKUP($Q44,'[1]Handicap Chart'!$B$4:$K$40,5),VLOOKUP($Q44,'[1]Handicap Chart'!$B$4:$K$40,4))</f>
        <v>1</v>
      </c>
      <c r="M44" s="43">
        <f>IF($A$40="Front",VLOOKUP($Q44,'[1]Handicap Chart'!$B$4:$K$40,10),VLOOKUP($Q44,'[1]Handicap Chart'!$B$4:$K$40,9))</f>
        <v>1</v>
      </c>
      <c r="N44" s="43">
        <f>IF($A$40="Front",VLOOKUP($Q44,'[1]Handicap Chart'!$B$4:$K$40,3),VLOOKUP($Q44,'[1]Handicap Chart'!$B$4:$K$40,7))</f>
        <v>2</v>
      </c>
      <c r="O44" s="43">
        <f>IF($A$40="Front",VLOOKUP($Q44,'[1]Handicap Chart'!$B$4:$K$40,7),VLOOKUP($Q44,'[1]Handicap Chart'!$B$4:$K$40,8))</f>
        <v>1</v>
      </c>
      <c r="P44" s="43">
        <f>IF($A$40="Front",VLOOKUP($Q44,'[1]Handicap Chart'!$B$4:$K$40,6),VLOOKUP($Q44,'[1]Handicap Chart'!$B$4:$K$40,2))</f>
        <v>1</v>
      </c>
      <c r="Q44" s="56">
        <f>VLOOKUP($C43,[1]Summary!$A$4:$BL$39,50, FALSE)</f>
        <v>11</v>
      </c>
      <c r="S44" s="72" t="s">
        <v>91</v>
      </c>
      <c r="T44" s="72">
        <f>IF(OR(EXACT($E43,"Y"),(EXACT($F43,"Y"))),"-",IF(H45-T45&gt;1,-1,IF(H45-T45=0,1,IF(H45-T45=-1,3,IF(H45-T45=-2,4,IF(H45-T45=-3,5,0))))))</f>
        <v>0</v>
      </c>
      <c r="U44" s="72">
        <f t="shared" ref="U44:AB44" si="41">IF(OR(EXACT($E43,"Y"),(EXACT($F43,"Y"))),"-",IF(I45-U45&gt;1,-1,IF(I45-U45=0,1,IF(I45-U45=-1,3,IF(I45-U45=-2,4,IF(I45-U45=-3,5,0))))))</f>
        <v>0</v>
      </c>
      <c r="V44" s="72">
        <f t="shared" si="41"/>
        <v>0</v>
      </c>
      <c r="W44" s="72">
        <f t="shared" si="41"/>
        <v>0</v>
      </c>
      <c r="X44" s="72">
        <f t="shared" si="41"/>
        <v>0</v>
      </c>
      <c r="Y44" s="72">
        <f t="shared" si="41"/>
        <v>0</v>
      </c>
      <c r="Z44" s="72">
        <f t="shared" si="41"/>
        <v>0</v>
      </c>
      <c r="AA44" s="72">
        <f t="shared" si="41"/>
        <v>0</v>
      </c>
      <c r="AB44" s="72">
        <f t="shared" si="41"/>
        <v>0</v>
      </c>
      <c r="AC44" s="71">
        <f>IF(EXACT(E43,"Y"),6,IF(EXACT(F43,"Y"),2,SUM(T44:AB44)))</f>
        <v>0</v>
      </c>
      <c r="AD44" s="41"/>
      <c r="AE44" s="2"/>
      <c r="AH44" s="2"/>
    </row>
    <row r="45" spans="1:35" x14ac:dyDescent="0.4">
      <c r="A45" s="54"/>
      <c r="B45" s="55"/>
      <c r="C45" s="55"/>
      <c r="D45" s="55"/>
      <c r="E45" s="55"/>
      <c r="F45" s="55"/>
      <c r="G45" s="60" t="s">
        <v>92</v>
      </c>
      <c r="H45" s="61">
        <f t="shared" ref="H45:P45" si="42">IF(OR(EXACT($E43,"Y"),(EXACT($F43,"Y"))),"-",H43-H44)</f>
        <v>-2</v>
      </c>
      <c r="I45" s="61">
        <f t="shared" si="42"/>
        <v>-1</v>
      </c>
      <c r="J45" s="61">
        <f t="shared" si="42"/>
        <v>-1</v>
      </c>
      <c r="K45" s="61">
        <f t="shared" si="42"/>
        <v>-1</v>
      </c>
      <c r="L45" s="61">
        <f t="shared" si="42"/>
        <v>-1</v>
      </c>
      <c r="M45" s="61">
        <f t="shared" si="42"/>
        <v>-1</v>
      </c>
      <c r="N45" s="61">
        <f t="shared" si="42"/>
        <v>-2</v>
      </c>
      <c r="O45" s="61">
        <f t="shared" si="42"/>
        <v>-1</v>
      </c>
      <c r="P45" s="61">
        <f t="shared" si="42"/>
        <v>-1</v>
      </c>
      <c r="Q45" s="62">
        <f>SUM(H45:P45)</f>
        <v>-11</v>
      </c>
      <c r="S45" s="63" t="str">
        <f>$A$12</f>
        <v>Front</v>
      </c>
      <c r="T45" s="43">
        <f t="shared" ref="T45:AB45" si="43">IF($A$12="Front",T$1,T$2)</f>
        <v>4</v>
      </c>
      <c r="U45" s="43">
        <f t="shared" si="43"/>
        <v>3</v>
      </c>
      <c r="V45" s="43">
        <f t="shared" si="43"/>
        <v>4</v>
      </c>
      <c r="W45" s="43">
        <f t="shared" si="43"/>
        <v>5</v>
      </c>
      <c r="X45" s="43">
        <f t="shared" si="43"/>
        <v>4</v>
      </c>
      <c r="Y45" s="43">
        <f t="shared" si="43"/>
        <v>3</v>
      </c>
      <c r="Z45" s="43">
        <f t="shared" si="43"/>
        <v>4</v>
      </c>
      <c r="AA45" s="43">
        <f t="shared" si="43"/>
        <v>5</v>
      </c>
      <c r="AB45" s="43">
        <f t="shared" si="43"/>
        <v>4</v>
      </c>
      <c r="AC45" s="56">
        <f>SUM(T45:AB45)</f>
        <v>36</v>
      </c>
      <c r="AD45" s="41"/>
      <c r="AE45" s="2"/>
      <c r="AH45" s="2"/>
    </row>
    <row r="46" spans="1:35" x14ac:dyDescent="0.4">
      <c r="A46" s="64" t="s">
        <v>96</v>
      </c>
      <c r="B46" s="69">
        <v>7</v>
      </c>
      <c r="C46" s="70">
        <v>13</v>
      </c>
      <c r="D46" s="69" t="str">
        <f>VLOOKUP($C46,[1]Summary!$A$4:$D$39,4, FALSE)</f>
        <v>John Harvey</v>
      </c>
      <c r="E46" s="70"/>
      <c r="F46" s="70"/>
      <c r="G46" s="69" t="s">
        <v>88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f>SUM(H46:P46)</f>
        <v>0</v>
      </c>
      <c r="S46" s="66" t="s">
        <v>89</v>
      </c>
      <c r="T46" s="52">
        <f t="shared" ref="T46:AB46" si="44">IF(H46&gt;=T48+H47+2,SUM(T48+H47+2),H46)</f>
        <v>0</v>
      </c>
      <c r="U46" s="52">
        <f t="shared" si="44"/>
        <v>0</v>
      </c>
      <c r="V46" s="52">
        <f t="shared" si="44"/>
        <v>0</v>
      </c>
      <c r="W46" s="52">
        <f t="shared" si="44"/>
        <v>0</v>
      </c>
      <c r="X46" s="52">
        <f t="shared" si="44"/>
        <v>0</v>
      </c>
      <c r="Y46" s="52">
        <f t="shared" si="44"/>
        <v>0</v>
      </c>
      <c r="Z46" s="52">
        <f t="shared" si="44"/>
        <v>0</v>
      </c>
      <c r="AA46" s="52">
        <f t="shared" si="44"/>
        <v>0</v>
      </c>
      <c r="AB46" s="52">
        <f t="shared" si="44"/>
        <v>0</v>
      </c>
      <c r="AC46" s="62">
        <f>SUM(T46:AB46)</f>
        <v>0</v>
      </c>
      <c r="AD46" s="41"/>
      <c r="AE46" s="2"/>
      <c r="AH46" s="2"/>
    </row>
    <row r="47" spans="1:35" ht="15" thickBot="1" x14ac:dyDescent="0.45">
      <c r="A47" s="54"/>
      <c r="B47" s="55"/>
      <c r="C47" s="55"/>
      <c r="D47" s="55"/>
      <c r="E47" s="55"/>
      <c r="F47" s="55"/>
      <c r="G47" s="43" t="s">
        <v>90</v>
      </c>
      <c r="H47" s="43">
        <f>IF($A$40="Front",VLOOKUP($Q47,'[1]Handicap Chart'!$B$4:$K$40,2),VLOOKUP($Q47,'[1]Handicap Chart'!$B$4:$K$40,10))</f>
        <v>2</v>
      </c>
      <c r="I47" s="43">
        <f>IF($A$40="Front",VLOOKUP($Q47,'[1]Handicap Chart'!$B$4:$K$40,4),VLOOKUP($Q47,'[1]Handicap Chart'!$B$4:$K$40,3))</f>
        <v>1</v>
      </c>
      <c r="J47" s="43">
        <f>IF($A$40="Front",VLOOKUP($Q47,'[1]Handicap Chart'!$B$4:$K$40,8),VLOOKUP($Q47,'[1]Handicap Chart'!$B$4:$K$40,6))</f>
        <v>1</v>
      </c>
      <c r="K47" s="43">
        <f>IF($A$40="Front",VLOOKUP($Q47,'[1]Handicap Chart'!$B$4:$K$40,9),VLOOKUP($Q47,'[1]Handicap Chart'!$B$4:$K$40,5))</f>
        <v>1</v>
      </c>
      <c r="L47" s="43">
        <f>IF($A$40="Front",VLOOKUP($Q47,'[1]Handicap Chart'!$B$4:$K$40,5),VLOOKUP($Q47,'[1]Handicap Chart'!$B$4:$K$40,4))</f>
        <v>1</v>
      </c>
      <c r="M47" s="43">
        <f>IF($A$40="Front",VLOOKUP($Q47,'[1]Handicap Chart'!$B$4:$K$40,10),VLOOKUP($Q47,'[1]Handicap Chart'!$B$4:$K$40,9))</f>
        <v>1</v>
      </c>
      <c r="N47" s="43">
        <f>IF($A$40="Front",VLOOKUP($Q47,'[1]Handicap Chart'!$B$4:$K$40,3),VLOOKUP($Q47,'[1]Handicap Chart'!$B$4:$K$40,7))</f>
        <v>2</v>
      </c>
      <c r="O47" s="43">
        <f>IF($A$40="Front",VLOOKUP($Q47,'[1]Handicap Chart'!$B$4:$K$40,7),VLOOKUP($Q47,'[1]Handicap Chart'!$B$4:$K$40,8))</f>
        <v>1</v>
      </c>
      <c r="P47" s="43">
        <f>IF($A$40="Front",VLOOKUP($Q47,'[1]Handicap Chart'!$B$4:$K$40,6),VLOOKUP($Q47,'[1]Handicap Chart'!$B$4:$K$40,2))</f>
        <v>1</v>
      </c>
      <c r="Q47" s="56">
        <f>VLOOKUP($C46,[1]Summary!$A$4:$BL$39,50, FALSE)</f>
        <v>11</v>
      </c>
      <c r="S47" s="72" t="s">
        <v>91</v>
      </c>
      <c r="T47" s="72">
        <f>IF(OR(EXACT($E46,"Y"),(EXACT($F46,"Y"))),"-",IF(H48-T48&gt;1,-1,IF(H48-T48=0,1,IF(H48-T48=-1,3,IF(H48-T48=-2,4,IF(H48-T48=-3,5,0))))))</f>
        <v>0</v>
      </c>
      <c r="U47" s="72">
        <f t="shared" ref="U47:AB47" si="45">IF(OR(EXACT($E46,"Y"),(EXACT($F46,"Y"))),"-",IF(I48-U48&gt;1,-1,IF(I48-U48=0,1,IF(I48-U48=-1,3,IF(I48-U48=-2,4,IF(I48-U48=-3,5,0))))))</f>
        <v>0</v>
      </c>
      <c r="V47" s="72">
        <f t="shared" si="45"/>
        <v>0</v>
      </c>
      <c r="W47" s="72">
        <f t="shared" si="45"/>
        <v>0</v>
      </c>
      <c r="X47" s="72">
        <f t="shared" si="45"/>
        <v>0</v>
      </c>
      <c r="Y47" s="72">
        <f t="shared" si="45"/>
        <v>0</v>
      </c>
      <c r="Z47" s="72">
        <f t="shared" si="45"/>
        <v>0</v>
      </c>
      <c r="AA47" s="72">
        <f t="shared" si="45"/>
        <v>0</v>
      </c>
      <c r="AB47" s="72">
        <f t="shared" si="45"/>
        <v>0</v>
      </c>
      <c r="AC47" s="71">
        <f>IF(EXACT(E46,"Y"),6,IF(EXACT(F46,"Y"),2,SUM(T47:AB47)))</f>
        <v>0</v>
      </c>
      <c r="AD47" s="41"/>
      <c r="AE47" s="2"/>
      <c r="AH47" s="2"/>
    </row>
    <row r="48" spans="1:35" ht="15" thickBot="1" x14ac:dyDescent="0.45">
      <c r="A48" s="73"/>
      <c r="B48" s="74"/>
      <c r="C48" s="74"/>
      <c r="D48" s="74"/>
      <c r="E48" s="74"/>
      <c r="F48" s="74"/>
      <c r="G48" s="75" t="s">
        <v>92</v>
      </c>
      <c r="H48" s="61">
        <f t="shared" ref="H48:P48" si="46">IF(OR(EXACT($E46,"Y"),(EXACT($F46,"Y"))),"-",H46-H47)</f>
        <v>-2</v>
      </c>
      <c r="I48" s="61">
        <f t="shared" si="46"/>
        <v>-1</v>
      </c>
      <c r="J48" s="61">
        <f t="shared" si="46"/>
        <v>-1</v>
      </c>
      <c r="K48" s="61">
        <f t="shared" si="46"/>
        <v>-1</v>
      </c>
      <c r="L48" s="61">
        <f t="shared" si="46"/>
        <v>-1</v>
      </c>
      <c r="M48" s="61">
        <f t="shared" si="46"/>
        <v>-1</v>
      </c>
      <c r="N48" s="61">
        <f t="shared" si="46"/>
        <v>-2</v>
      </c>
      <c r="O48" s="61">
        <f t="shared" si="46"/>
        <v>-1</v>
      </c>
      <c r="P48" s="61">
        <f t="shared" si="46"/>
        <v>-1</v>
      </c>
      <c r="Q48" s="76">
        <f>SUM(H48:P48)</f>
        <v>-11</v>
      </c>
      <c r="S48" s="28" t="str">
        <f>$A$12</f>
        <v>Front</v>
      </c>
      <c r="T48" s="77">
        <f t="shared" ref="T48:AB48" si="47">IF($A$12="Front",T$1,T$2)</f>
        <v>4</v>
      </c>
      <c r="U48" s="77">
        <f t="shared" si="47"/>
        <v>3</v>
      </c>
      <c r="V48" s="77">
        <f t="shared" si="47"/>
        <v>4</v>
      </c>
      <c r="W48" s="77">
        <f t="shared" si="47"/>
        <v>5</v>
      </c>
      <c r="X48" s="77">
        <f t="shared" si="47"/>
        <v>4</v>
      </c>
      <c r="Y48" s="77">
        <f t="shared" si="47"/>
        <v>3</v>
      </c>
      <c r="Z48" s="77">
        <f t="shared" si="47"/>
        <v>4</v>
      </c>
      <c r="AA48" s="77">
        <f t="shared" si="47"/>
        <v>5</v>
      </c>
      <c r="AB48" s="77">
        <f t="shared" si="47"/>
        <v>4</v>
      </c>
      <c r="AC48" s="78">
        <f>SUM(T48:AB48)</f>
        <v>36</v>
      </c>
      <c r="AD48" s="41">
        <f>B43</f>
        <v>7</v>
      </c>
      <c r="AE48" s="79">
        <f>AC44+AC47</f>
        <v>0</v>
      </c>
      <c r="AF48" s="79">
        <f>IF(AC44&gt;=AC38,IF(AC44&gt;AC38,IF(AC47&gt;=AC41,IF(AC47&gt;AC41,4,3),2),IF(AC47&gt;=AC41,IF(AC47&gt;AC41,3,2),IF(AC47&gt;=AC41,IF(AC47&gt;AC41,2,1),1))),IF(AC47&gt;=AC41,IF(AC47&gt;AC41,2,1),0))</f>
        <v>2</v>
      </c>
      <c r="AG48" s="79">
        <f>IF(AE48&gt;AE42,4,IF(AE48=AE42,2,0))</f>
        <v>2</v>
      </c>
      <c r="AH48" s="80">
        <v>8</v>
      </c>
      <c r="AI48" s="80">
        <f>SUM(AF48:AH48)</f>
        <v>12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45">
      <c r="A50" s="43" t="s">
        <v>81</v>
      </c>
      <c r="B50" s="43" t="s">
        <v>0</v>
      </c>
      <c r="C50" s="43" t="s">
        <v>6</v>
      </c>
      <c r="D50" s="43" t="s">
        <v>83</v>
      </c>
      <c r="E50" s="43" t="s">
        <v>84</v>
      </c>
      <c r="F50" s="43" t="s">
        <v>85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86</v>
      </c>
      <c r="S50" s="44" t="s">
        <v>87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4">
      <c r="A51" s="47">
        <v>4</v>
      </c>
      <c r="B51" s="48">
        <v>9</v>
      </c>
      <c r="C51" s="49">
        <v>17</v>
      </c>
      <c r="D51" s="48" t="str">
        <f>VLOOKUP($C51,[1]Summary!$A$4:$BL$39,4, FALSE)</f>
        <v>Chris Fahey</v>
      </c>
      <c r="E51" s="49"/>
      <c r="F51" s="49"/>
      <c r="G51" s="48" t="s">
        <v>88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f>SUM(H51:P51)</f>
        <v>0</v>
      </c>
      <c r="S51" s="51" t="s">
        <v>89</v>
      </c>
      <c r="T51" s="52">
        <f t="shared" ref="T51:AB51" si="48">IF(H51&gt;=T53+H52+2,SUM(T53+H52+2),H51)</f>
        <v>0</v>
      </c>
      <c r="U51" s="52">
        <f t="shared" si="48"/>
        <v>0</v>
      </c>
      <c r="V51" s="52">
        <f t="shared" si="48"/>
        <v>0</v>
      </c>
      <c r="W51" s="52">
        <f t="shared" si="48"/>
        <v>0</v>
      </c>
      <c r="X51" s="52">
        <f t="shared" si="48"/>
        <v>0</v>
      </c>
      <c r="Y51" s="52">
        <f t="shared" si="48"/>
        <v>0</v>
      </c>
      <c r="Z51" s="52">
        <f t="shared" si="48"/>
        <v>0</v>
      </c>
      <c r="AA51" s="52">
        <f t="shared" si="48"/>
        <v>0</v>
      </c>
      <c r="AB51" s="52">
        <f t="shared" si="48"/>
        <v>0</v>
      </c>
      <c r="AC51" s="53">
        <f>SUM(T51:AB51)</f>
        <v>0</v>
      </c>
      <c r="AD51" s="41"/>
      <c r="AE51" s="2"/>
      <c r="AH51" s="2"/>
    </row>
    <row r="52" spans="1:35" x14ac:dyDescent="0.4">
      <c r="A52" s="54"/>
      <c r="B52" s="55"/>
      <c r="C52" s="55"/>
      <c r="D52" s="55"/>
      <c r="E52" s="55"/>
      <c r="F52" s="55"/>
      <c r="G52" s="43" t="s">
        <v>90</v>
      </c>
      <c r="H52" s="43">
        <f>IF($A$54="Front",VLOOKUP($Q52,'[1]Handicap Chart'!$B$4:$K$40,2),VLOOKUP($Q52,'[1]Handicap Chart'!$B$4:$K$40,10))</f>
        <v>1</v>
      </c>
      <c r="I52" s="43">
        <f>IF($A$54="Front",VLOOKUP($Q52,'[1]Handicap Chart'!$B$4:$K$40,4),VLOOKUP($Q52,'[1]Handicap Chart'!$B$4:$K$40,3))</f>
        <v>1</v>
      </c>
      <c r="J52" s="43">
        <f>IF($A$54="Front",VLOOKUP($Q52,'[1]Handicap Chart'!$B$4:$K$40,8),VLOOKUP($Q52,'[1]Handicap Chart'!$B$4:$K$40,6))</f>
        <v>1</v>
      </c>
      <c r="K52" s="43">
        <f>IF($A$54="Front",VLOOKUP($Q52,'[1]Handicap Chart'!$B$4:$K$40,9),VLOOKUP($Q52,'[1]Handicap Chart'!$B$4:$K$40,5))</f>
        <v>1</v>
      </c>
      <c r="L52" s="43">
        <f>IF($A$54="Front",VLOOKUP($Q52,'[1]Handicap Chart'!$B$4:$K$40,5),VLOOKUP($Q52,'[1]Handicap Chart'!$B$4:$K$40,4))</f>
        <v>1</v>
      </c>
      <c r="M52" s="43">
        <f>IF($A$54="Front",VLOOKUP($Q52,'[1]Handicap Chart'!$B$4:$K$40,10),VLOOKUP($Q52,'[1]Handicap Chart'!$B$4:$K$40,9))</f>
        <v>1</v>
      </c>
      <c r="N52" s="43">
        <f>IF($A$54="Front",VLOOKUP($Q52,'[1]Handicap Chart'!$B$4:$K$40,3),VLOOKUP($Q52,'[1]Handicap Chart'!$B$4:$K$40,7))</f>
        <v>1</v>
      </c>
      <c r="O52" s="43">
        <f>IF($A$54="Front",VLOOKUP($Q52,'[1]Handicap Chart'!$B$4:$K$40,7),VLOOKUP($Q52,'[1]Handicap Chart'!$B$4:$K$40,8))</f>
        <v>1</v>
      </c>
      <c r="P52" s="43">
        <f>IF($A$54="Front",VLOOKUP($Q52,'[1]Handicap Chart'!$B$4:$K$40,6),VLOOKUP($Q52,'[1]Handicap Chart'!$B$4:$K$40,2))</f>
        <v>1</v>
      </c>
      <c r="Q52" s="56">
        <f>VLOOKUP($C51,[1]Summary!$A$4:$BL$39,50, FALSE)</f>
        <v>9</v>
      </c>
      <c r="S52" s="57" t="s">
        <v>91</v>
      </c>
      <c r="T52" s="58">
        <f t="shared" ref="T52:AB52" si="49">IF(OR(EXACT($E51,"Y"),(EXACT($F51,"Y"))),"-",IF(H53-T53&gt;1,-1,IF(H53-T53=0,1,IF(H53-T53=-1,3,IF(H53-T53=-2,4,IF(H53-T53=-3,5,0))))))</f>
        <v>0</v>
      </c>
      <c r="U52" s="58">
        <f t="shared" si="49"/>
        <v>0</v>
      </c>
      <c r="V52" s="58">
        <f t="shared" si="49"/>
        <v>0</v>
      </c>
      <c r="W52" s="58">
        <f t="shared" si="49"/>
        <v>0</v>
      </c>
      <c r="X52" s="58">
        <f t="shared" si="49"/>
        <v>0</v>
      </c>
      <c r="Y52" s="58">
        <f t="shared" si="49"/>
        <v>0</v>
      </c>
      <c r="Z52" s="58">
        <f t="shared" si="49"/>
        <v>0</v>
      </c>
      <c r="AA52" s="58">
        <f t="shared" si="49"/>
        <v>0</v>
      </c>
      <c r="AB52" s="58">
        <f t="shared" si="49"/>
        <v>0</v>
      </c>
      <c r="AC52" s="59">
        <f>IF(EXACT(E51,"Y"),6,IF(EXACT(F51,"Y"),2,SUM(T52:AB52)))</f>
        <v>0</v>
      </c>
      <c r="AD52" s="41"/>
      <c r="AE52" s="2"/>
      <c r="AH52" s="2"/>
    </row>
    <row r="53" spans="1:35" ht="15" thickBot="1" x14ac:dyDescent="0.45">
      <c r="A53" s="54"/>
      <c r="B53" s="55"/>
      <c r="C53" s="55"/>
      <c r="D53" s="55"/>
      <c r="E53" s="55"/>
      <c r="F53" s="55"/>
      <c r="G53" s="60" t="s">
        <v>92</v>
      </c>
      <c r="H53" s="61">
        <f t="shared" ref="H53:P53" si="50">IF(OR(EXACT($E51,"Y"),(EXACT($F51,"Y"))),"-",H51-H52)</f>
        <v>-1</v>
      </c>
      <c r="I53" s="61">
        <f t="shared" si="50"/>
        <v>-1</v>
      </c>
      <c r="J53" s="61">
        <f t="shared" si="50"/>
        <v>-1</v>
      </c>
      <c r="K53" s="61">
        <f t="shared" si="50"/>
        <v>-1</v>
      </c>
      <c r="L53" s="61">
        <f t="shared" si="50"/>
        <v>-1</v>
      </c>
      <c r="M53" s="61">
        <f t="shared" si="50"/>
        <v>-1</v>
      </c>
      <c r="N53" s="61">
        <f t="shared" si="50"/>
        <v>-1</v>
      </c>
      <c r="O53" s="61">
        <f t="shared" si="50"/>
        <v>-1</v>
      </c>
      <c r="P53" s="61">
        <f t="shared" si="50"/>
        <v>-1</v>
      </c>
      <c r="Q53" s="62">
        <f>SUM(H53:P53)</f>
        <v>-9</v>
      </c>
      <c r="S53" s="63" t="str">
        <f>$A$12</f>
        <v>Front</v>
      </c>
      <c r="T53" s="43">
        <f t="shared" ref="T53:AB53" si="51">IF($A$12="Front",T$1,T$2)</f>
        <v>4</v>
      </c>
      <c r="U53" s="43">
        <f t="shared" si="51"/>
        <v>3</v>
      </c>
      <c r="V53" s="43">
        <f t="shared" si="51"/>
        <v>4</v>
      </c>
      <c r="W53" s="43">
        <f t="shared" si="51"/>
        <v>5</v>
      </c>
      <c r="X53" s="43">
        <f t="shared" si="51"/>
        <v>4</v>
      </c>
      <c r="Y53" s="43">
        <f t="shared" si="51"/>
        <v>3</v>
      </c>
      <c r="Z53" s="43">
        <f t="shared" si="51"/>
        <v>4</v>
      </c>
      <c r="AA53" s="43">
        <f t="shared" si="51"/>
        <v>5</v>
      </c>
      <c r="AB53" s="43">
        <f t="shared" si="51"/>
        <v>4</v>
      </c>
      <c r="AC53" s="56">
        <f>SUM(T53:AB53)</f>
        <v>36</v>
      </c>
      <c r="AD53" s="41"/>
      <c r="AE53" s="2"/>
      <c r="AH53" s="2"/>
    </row>
    <row r="54" spans="1:35" x14ac:dyDescent="0.4">
      <c r="A54" s="64" t="s">
        <v>73</v>
      </c>
      <c r="B54" s="58">
        <v>9</v>
      </c>
      <c r="C54" s="65">
        <v>18</v>
      </c>
      <c r="D54" s="48" t="str">
        <f>VLOOKUP($C54,[1]Summary!$A$4:$BL$39,4, FALSE)</f>
        <v>JC Olivos</v>
      </c>
      <c r="E54" s="65"/>
      <c r="F54" s="65"/>
      <c r="G54" s="58" t="s">
        <v>88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f>SUM(H54:P54)</f>
        <v>0</v>
      </c>
      <c r="S54" s="66" t="s">
        <v>89</v>
      </c>
      <c r="T54" s="52">
        <f>IF(H54&gt;=T56+H55+2,SUM(T56+H55+2),H54)</f>
        <v>0</v>
      </c>
      <c r="U54" s="52">
        <f t="shared" ref="U54:AB54" si="52">IF(I54&gt;=U56+I55+2,SUM(U56+I55+2),I54)</f>
        <v>0</v>
      </c>
      <c r="V54" s="52">
        <f t="shared" si="52"/>
        <v>0</v>
      </c>
      <c r="W54" s="52">
        <f t="shared" si="52"/>
        <v>0</v>
      </c>
      <c r="X54" s="52">
        <f t="shared" si="52"/>
        <v>0</v>
      </c>
      <c r="Y54" s="52">
        <f t="shared" si="52"/>
        <v>0</v>
      </c>
      <c r="Z54" s="52">
        <f t="shared" si="52"/>
        <v>0</v>
      </c>
      <c r="AA54" s="52">
        <f t="shared" si="52"/>
        <v>0</v>
      </c>
      <c r="AB54" s="52">
        <f t="shared" si="52"/>
        <v>0</v>
      </c>
      <c r="AC54" s="62">
        <f>SUM(T54:AB54)</f>
        <v>0</v>
      </c>
      <c r="AD54" s="41"/>
      <c r="AE54" s="2"/>
      <c r="AH54" s="2"/>
    </row>
    <row r="55" spans="1:35" ht="15" thickBot="1" x14ac:dyDescent="0.45">
      <c r="A55" s="54"/>
      <c r="B55" s="55"/>
      <c r="C55" s="55"/>
      <c r="D55" s="55"/>
      <c r="E55" s="55"/>
      <c r="F55" s="55"/>
      <c r="G55" s="43" t="s">
        <v>90</v>
      </c>
      <c r="H55" s="43">
        <f>IF($A$54="Front",VLOOKUP($Q55,'[1]Handicap Chart'!$B$4:$K$40,2),VLOOKUP($Q55,'[1]Handicap Chart'!$B$4:$K$40,10))</f>
        <v>1</v>
      </c>
      <c r="I55" s="43">
        <f>IF($A$54="Front",VLOOKUP($Q55,'[1]Handicap Chart'!$B$4:$K$40,4),VLOOKUP($Q55,'[1]Handicap Chart'!$B$4:$K$40,3))</f>
        <v>1</v>
      </c>
      <c r="J55" s="43">
        <f>IF($A$54="Front",VLOOKUP($Q55,'[1]Handicap Chart'!$B$4:$K$40,8),VLOOKUP($Q55,'[1]Handicap Chart'!$B$4:$K$40,6))</f>
        <v>1</v>
      </c>
      <c r="K55" s="43">
        <f>IF($A$54="Front",VLOOKUP($Q55,'[1]Handicap Chart'!$B$4:$K$40,9),VLOOKUP($Q55,'[1]Handicap Chart'!$B$4:$K$40,5))</f>
        <v>1</v>
      </c>
      <c r="L55" s="43">
        <f>IF($A$54="Front",VLOOKUP($Q55,'[1]Handicap Chart'!$B$4:$K$40,5),VLOOKUP($Q55,'[1]Handicap Chart'!$B$4:$K$40,4))</f>
        <v>1</v>
      </c>
      <c r="M55" s="43">
        <f>IF($A$54="Front",VLOOKUP($Q55,'[1]Handicap Chart'!$B$4:$K$40,10),VLOOKUP($Q55,'[1]Handicap Chart'!$B$4:$K$40,9))</f>
        <v>1</v>
      </c>
      <c r="N55" s="43">
        <f>IF($A$54="Front",VLOOKUP($Q55,'[1]Handicap Chart'!$B$4:$K$40,3),VLOOKUP($Q55,'[1]Handicap Chart'!$B$4:$K$40,7))</f>
        <v>1</v>
      </c>
      <c r="O55" s="43">
        <f>IF($A$54="Front",VLOOKUP($Q55,'[1]Handicap Chart'!$B$4:$K$40,7),VLOOKUP($Q55,'[1]Handicap Chart'!$B$4:$K$40,8))</f>
        <v>1</v>
      </c>
      <c r="P55" s="43">
        <f>IF($A$54="Front",VLOOKUP($Q55,'[1]Handicap Chart'!$B$4:$K$40,6),VLOOKUP($Q55,'[1]Handicap Chart'!$B$4:$K$40,2))</f>
        <v>1</v>
      </c>
      <c r="Q55" s="56">
        <f>VLOOKUP($C54,[1]Summary!$A$4:$BL$39,50, FALSE)</f>
        <v>9</v>
      </c>
      <c r="S55" s="57" t="s">
        <v>91</v>
      </c>
      <c r="T55" s="58">
        <f t="shared" ref="T55:AB55" si="53">IF(OR(EXACT($E54,"Y"),(EXACT($F54,"Y"))),"-",IF(H56-T56&gt;1,-1,IF(H56-T56=0,1,IF(H56-T56=-1,3,IF(H56-T56=-2,4,IF(H56-T56=-3,5,0))))))</f>
        <v>0</v>
      </c>
      <c r="U55" s="58">
        <f t="shared" si="53"/>
        <v>0</v>
      </c>
      <c r="V55" s="58">
        <f t="shared" si="53"/>
        <v>0</v>
      </c>
      <c r="W55" s="58">
        <f t="shared" si="53"/>
        <v>0</v>
      </c>
      <c r="X55" s="58">
        <f t="shared" si="53"/>
        <v>0</v>
      </c>
      <c r="Y55" s="58">
        <f t="shared" si="53"/>
        <v>0</v>
      </c>
      <c r="Z55" s="58">
        <f t="shared" si="53"/>
        <v>0</v>
      </c>
      <c r="AA55" s="58">
        <f t="shared" si="53"/>
        <v>0</v>
      </c>
      <c r="AB55" s="58">
        <f t="shared" si="53"/>
        <v>0</v>
      </c>
      <c r="AC55" s="59">
        <f>IF(EXACT(E54,"Y"),6,IF(EXACT(F54,"Y"),2,SUM(T55:AB55)))</f>
        <v>0</v>
      </c>
      <c r="AD55" s="41"/>
      <c r="AE55" s="2"/>
      <c r="AH55" s="2"/>
    </row>
    <row r="56" spans="1:35" ht="15" thickBot="1" x14ac:dyDescent="0.45">
      <c r="A56" s="54"/>
      <c r="B56" s="55"/>
      <c r="C56" s="55"/>
      <c r="D56" s="55"/>
      <c r="E56" s="55"/>
      <c r="F56" s="55"/>
      <c r="G56" s="60" t="s">
        <v>92</v>
      </c>
      <c r="H56" s="61">
        <f t="shared" ref="H56:P56" si="54">IF(OR(EXACT($E54,"Y"),(EXACT($F54,"Y"))),"-",H54-H55)</f>
        <v>-1</v>
      </c>
      <c r="I56" s="61">
        <f t="shared" si="54"/>
        <v>-1</v>
      </c>
      <c r="J56" s="61">
        <f t="shared" si="54"/>
        <v>-1</v>
      </c>
      <c r="K56" s="61">
        <f t="shared" si="54"/>
        <v>-1</v>
      </c>
      <c r="L56" s="61">
        <f t="shared" si="54"/>
        <v>-1</v>
      </c>
      <c r="M56" s="61">
        <f t="shared" si="54"/>
        <v>-1</v>
      </c>
      <c r="N56" s="61">
        <f t="shared" si="54"/>
        <v>-1</v>
      </c>
      <c r="O56" s="61">
        <f t="shared" si="54"/>
        <v>-1</v>
      </c>
      <c r="P56" s="61">
        <f t="shared" si="54"/>
        <v>-1</v>
      </c>
      <c r="Q56" s="62">
        <f>SUM(H56:P56)</f>
        <v>-9</v>
      </c>
      <c r="S56" s="63" t="str">
        <f>$A$12</f>
        <v>Front</v>
      </c>
      <c r="T56" s="43">
        <f t="shared" ref="T56:AB56" si="55">IF($A$12="Front",T$1,T$2)</f>
        <v>4</v>
      </c>
      <c r="U56" s="43">
        <f t="shared" si="55"/>
        <v>3</v>
      </c>
      <c r="V56" s="43">
        <f t="shared" si="55"/>
        <v>4</v>
      </c>
      <c r="W56" s="43">
        <f t="shared" si="55"/>
        <v>5</v>
      </c>
      <c r="X56" s="43">
        <f t="shared" si="55"/>
        <v>4</v>
      </c>
      <c r="Y56" s="43">
        <f t="shared" si="55"/>
        <v>3</v>
      </c>
      <c r="Z56" s="43">
        <f t="shared" si="55"/>
        <v>4</v>
      </c>
      <c r="AA56" s="43">
        <f t="shared" si="55"/>
        <v>5</v>
      </c>
      <c r="AB56" s="43">
        <f t="shared" si="55"/>
        <v>4</v>
      </c>
      <c r="AC56" s="56">
        <f>SUM(T56:AB56)</f>
        <v>36</v>
      </c>
      <c r="AD56" s="41">
        <f>B51</f>
        <v>9</v>
      </c>
      <c r="AE56" s="81">
        <f>AC52+AC55</f>
        <v>0</v>
      </c>
      <c r="AF56" s="67">
        <f>IF(AC52&gt;=AC58,IF(AC52&gt;AC58,IF(AC55&gt;=AC61,IF(AC55&gt;AC61,4,3),2),IF(AC55&gt;=AC61,IF(AC55&gt;AC61,3,2),IF(AC55&gt;=AC61,IF(AC55&gt;AC61,2,1),1))),IF(AC55&gt;=AC61,IF(AC55&gt;AC61,2,1),0))</f>
        <v>2</v>
      </c>
      <c r="AG56" s="67">
        <f>IF(AE56&gt;AE62,4,IF(AE56=AE62,2,0))</f>
        <v>2</v>
      </c>
      <c r="AH56" s="68">
        <v>6</v>
      </c>
      <c r="AI56" s="68">
        <f>SUM(AF56:AH56)</f>
        <v>10</v>
      </c>
    </row>
    <row r="57" spans="1:35" x14ac:dyDescent="0.4">
      <c r="A57" s="64" t="s">
        <v>93</v>
      </c>
      <c r="B57" s="69">
        <v>11</v>
      </c>
      <c r="C57" s="70">
        <v>21</v>
      </c>
      <c r="D57" s="69" t="str">
        <f>VLOOKUP($C57,[1]Summary!$A$4:$BL$39,4, FALSE)</f>
        <v>Jack West</v>
      </c>
      <c r="E57" s="70"/>
      <c r="F57" s="70"/>
      <c r="G57" s="69" t="s">
        <v>88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f>SUM(H57:P57)</f>
        <v>0</v>
      </c>
      <c r="S57" s="66" t="s">
        <v>89</v>
      </c>
      <c r="T57" s="52">
        <f t="shared" ref="T57:AB57" si="56">IF(H57&gt;=T59+H58+2,SUM(T59+H58+2),H57)</f>
        <v>0</v>
      </c>
      <c r="U57" s="52">
        <f t="shared" si="56"/>
        <v>0</v>
      </c>
      <c r="V57" s="52">
        <f t="shared" si="56"/>
        <v>0</v>
      </c>
      <c r="W57" s="52">
        <f t="shared" si="56"/>
        <v>0</v>
      </c>
      <c r="X57" s="52">
        <f t="shared" si="56"/>
        <v>0</v>
      </c>
      <c r="Y57" s="52">
        <f t="shared" si="56"/>
        <v>0</v>
      </c>
      <c r="Z57" s="52">
        <f t="shared" si="56"/>
        <v>0</v>
      </c>
      <c r="AA57" s="52">
        <f t="shared" si="56"/>
        <v>0</v>
      </c>
      <c r="AB57" s="52">
        <f t="shared" si="56"/>
        <v>0</v>
      </c>
      <c r="AC57" s="62">
        <f>SUM(T57:AB57)</f>
        <v>0</v>
      </c>
      <c r="AD57" s="41"/>
      <c r="AE57" s="2"/>
      <c r="AH57" s="2"/>
    </row>
    <row r="58" spans="1:35" x14ac:dyDescent="0.4">
      <c r="A58" s="54"/>
      <c r="B58" s="55"/>
      <c r="C58" s="55"/>
      <c r="D58" s="55"/>
      <c r="E58" s="55"/>
      <c r="F58" s="55"/>
      <c r="G58" s="43" t="s">
        <v>90</v>
      </c>
      <c r="H58" s="43">
        <f>IF($A$54="Front",VLOOKUP($Q58,'[1]Handicap Chart'!$B$4:$K$40,2),VLOOKUP($Q58,'[1]Handicap Chart'!$B$4:$K$40,10))</f>
        <v>2</v>
      </c>
      <c r="I58" s="43">
        <f>IF($A$54="Front",VLOOKUP($Q58,'[1]Handicap Chart'!$B$4:$K$40,4),VLOOKUP($Q58,'[1]Handicap Chart'!$B$4:$K$40,3))</f>
        <v>2</v>
      </c>
      <c r="J58" s="43">
        <f>IF($A$54="Front",VLOOKUP($Q58,'[1]Handicap Chart'!$B$4:$K$40,8),VLOOKUP($Q58,'[1]Handicap Chart'!$B$4:$K$40,6))</f>
        <v>1</v>
      </c>
      <c r="K58" s="43">
        <f>IF($A$54="Front",VLOOKUP($Q58,'[1]Handicap Chart'!$B$4:$K$40,9),VLOOKUP($Q58,'[1]Handicap Chart'!$B$4:$K$40,5))</f>
        <v>1</v>
      </c>
      <c r="L58" s="43">
        <f>IF($A$54="Front",VLOOKUP($Q58,'[1]Handicap Chart'!$B$4:$K$40,5),VLOOKUP($Q58,'[1]Handicap Chart'!$B$4:$K$40,4))</f>
        <v>1</v>
      </c>
      <c r="M58" s="43">
        <f>IF($A$54="Front",VLOOKUP($Q58,'[1]Handicap Chart'!$B$4:$K$40,10),VLOOKUP($Q58,'[1]Handicap Chart'!$B$4:$K$40,9))</f>
        <v>1</v>
      </c>
      <c r="N58" s="43">
        <f>IF($A$54="Front",VLOOKUP($Q58,'[1]Handicap Chart'!$B$4:$K$40,3),VLOOKUP($Q58,'[1]Handicap Chart'!$B$4:$K$40,7))</f>
        <v>2</v>
      </c>
      <c r="O58" s="43">
        <f>IF($A$54="Front",VLOOKUP($Q58,'[1]Handicap Chart'!$B$4:$K$40,7),VLOOKUP($Q58,'[1]Handicap Chart'!$B$4:$K$40,8))</f>
        <v>1</v>
      </c>
      <c r="P58" s="43">
        <f>IF($A$54="Front",VLOOKUP($Q58,'[1]Handicap Chart'!$B$4:$K$40,6),VLOOKUP($Q58,'[1]Handicap Chart'!$B$4:$K$40,2))</f>
        <v>1</v>
      </c>
      <c r="Q58" s="56">
        <f>VLOOKUP($C57,[1]Summary!$A$4:$BL$39,50, FALSE)</f>
        <v>12</v>
      </c>
      <c r="S58" s="72" t="s">
        <v>91</v>
      </c>
      <c r="T58" s="72">
        <f>IF(OR(EXACT($E57,"Y"),(EXACT($F57,"Y"))),"-",IF(H59-T59&gt;1,-1,IF(H59-T59=0,1,IF(H59-T59=-1,3,IF(H59-T59=-2,4,IF(H59-T59=-3,5,0))))))</f>
        <v>0</v>
      </c>
      <c r="U58" s="72">
        <f t="shared" ref="U58:AB58" si="57">IF(OR(EXACT($E57,"Y"),(EXACT($F57,"Y"))),"-",IF(I59-U59&gt;1,-1,IF(I59-U59=0,1,IF(I59-U59=-1,3,IF(I59-U59=-2,4,IF(I59-U59=-3,5,0))))))</f>
        <v>0</v>
      </c>
      <c r="V58" s="72">
        <f t="shared" si="57"/>
        <v>0</v>
      </c>
      <c r="W58" s="72">
        <f t="shared" si="57"/>
        <v>0</v>
      </c>
      <c r="X58" s="72">
        <f t="shared" si="57"/>
        <v>0</v>
      </c>
      <c r="Y58" s="72">
        <f t="shared" si="57"/>
        <v>0</v>
      </c>
      <c r="Z58" s="72">
        <f t="shared" si="57"/>
        <v>0</v>
      </c>
      <c r="AA58" s="72">
        <f t="shared" si="57"/>
        <v>0</v>
      </c>
      <c r="AB58" s="72">
        <f t="shared" si="57"/>
        <v>0</v>
      </c>
      <c r="AC58" s="71">
        <f>IF(EXACT(E57,"Y"),6,IF(EXACT(F57,"Y"),2,SUM(T58:AB58)))</f>
        <v>0</v>
      </c>
      <c r="AD58" s="41"/>
      <c r="AE58" s="2"/>
      <c r="AH58" s="2"/>
    </row>
    <row r="59" spans="1:35" x14ac:dyDescent="0.4">
      <c r="A59" s="54"/>
      <c r="B59" s="55"/>
      <c r="C59" s="55"/>
      <c r="D59" s="55"/>
      <c r="E59" s="55"/>
      <c r="F59" s="55"/>
      <c r="G59" s="60" t="s">
        <v>92</v>
      </c>
      <c r="H59" s="61">
        <f t="shared" ref="H59:P59" si="58">IF(OR(EXACT($E57,"Y"),(EXACT($F57,"Y"))),"-",H57-H58)</f>
        <v>-2</v>
      </c>
      <c r="I59" s="61">
        <f t="shared" si="58"/>
        <v>-2</v>
      </c>
      <c r="J59" s="61">
        <f t="shared" si="58"/>
        <v>-1</v>
      </c>
      <c r="K59" s="61">
        <f t="shared" si="58"/>
        <v>-1</v>
      </c>
      <c r="L59" s="61">
        <f t="shared" si="58"/>
        <v>-1</v>
      </c>
      <c r="M59" s="61">
        <f t="shared" si="58"/>
        <v>-1</v>
      </c>
      <c r="N59" s="61">
        <f t="shared" si="58"/>
        <v>-2</v>
      </c>
      <c r="O59" s="61">
        <f t="shared" si="58"/>
        <v>-1</v>
      </c>
      <c r="P59" s="61">
        <f t="shared" si="58"/>
        <v>-1</v>
      </c>
      <c r="Q59" s="62">
        <f>SUM(H59:P59)</f>
        <v>-12</v>
      </c>
      <c r="S59" s="63" t="str">
        <f>$A$12</f>
        <v>Front</v>
      </c>
      <c r="T59" s="43">
        <f t="shared" ref="T59:AB59" si="59">IF($A$12="Front",T$1,T$2)</f>
        <v>4</v>
      </c>
      <c r="U59" s="43">
        <f t="shared" si="59"/>
        <v>3</v>
      </c>
      <c r="V59" s="43">
        <f t="shared" si="59"/>
        <v>4</v>
      </c>
      <c r="W59" s="43">
        <f t="shared" si="59"/>
        <v>5</v>
      </c>
      <c r="X59" s="43">
        <f t="shared" si="59"/>
        <v>4</v>
      </c>
      <c r="Y59" s="43">
        <f t="shared" si="59"/>
        <v>3</v>
      </c>
      <c r="Z59" s="43">
        <f t="shared" si="59"/>
        <v>4</v>
      </c>
      <c r="AA59" s="43">
        <f t="shared" si="59"/>
        <v>5</v>
      </c>
      <c r="AB59" s="43">
        <f t="shared" si="59"/>
        <v>4</v>
      </c>
      <c r="AC59" s="56">
        <f>SUM(T59:AB59)</f>
        <v>36</v>
      </c>
      <c r="AD59" s="41"/>
      <c r="AE59" s="2"/>
      <c r="AH59" s="2"/>
    </row>
    <row r="60" spans="1:35" x14ac:dyDescent="0.4">
      <c r="A60" s="64" t="s">
        <v>97</v>
      </c>
      <c r="B60" s="69">
        <v>11</v>
      </c>
      <c r="C60" s="70">
        <v>22</v>
      </c>
      <c r="D60" s="69" t="str">
        <f>VLOOKUP($C60,[1]Summary!$A$4:$BL$39,4, FALSE)</f>
        <v>Ron Herman</v>
      </c>
      <c r="E60" s="70"/>
      <c r="F60" s="70"/>
      <c r="G60" s="69" t="s">
        <v>88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f>SUM(H60:P60)</f>
        <v>0</v>
      </c>
      <c r="S60" s="66" t="s">
        <v>89</v>
      </c>
      <c r="T60" s="52">
        <f t="shared" ref="T60:AB60" si="60">IF(H60&gt;=T62+H61+2,SUM(T62+H61+2),H60)</f>
        <v>0</v>
      </c>
      <c r="U60" s="52">
        <f t="shared" si="60"/>
        <v>0</v>
      </c>
      <c r="V60" s="52">
        <f t="shared" si="60"/>
        <v>0</v>
      </c>
      <c r="W60" s="52">
        <f t="shared" si="60"/>
        <v>0</v>
      </c>
      <c r="X60" s="52">
        <f t="shared" si="60"/>
        <v>0</v>
      </c>
      <c r="Y60" s="52">
        <f t="shared" si="60"/>
        <v>0</v>
      </c>
      <c r="Z60" s="52">
        <f t="shared" si="60"/>
        <v>0</v>
      </c>
      <c r="AA60" s="52">
        <f t="shared" si="60"/>
        <v>0</v>
      </c>
      <c r="AB60" s="52">
        <f t="shared" si="60"/>
        <v>0</v>
      </c>
      <c r="AC60" s="62">
        <f>SUM(T60:AB60)</f>
        <v>0</v>
      </c>
      <c r="AD60" s="41"/>
      <c r="AE60" s="2"/>
      <c r="AH60" s="2"/>
    </row>
    <row r="61" spans="1:35" ht="15" thickBot="1" x14ac:dyDescent="0.45">
      <c r="A61" s="54"/>
      <c r="B61" s="55"/>
      <c r="C61" s="55"/>
      <c r="D61" s="55"/>
      <c r="E61" s="55"/>
      <c r="F61" s="55"/>
      <c r="G61" s="43" t="s">
        <v>90</v>
      </c>
      <c r="H61" s="43">
        <f>IF($A$54="Front",VLOOKUP($Q61,'[1]Handicap Chart'!$B$4:$K$40,2),VLOOKUP($Q61,'[1]Handicap Chart'!$B$4:$K$40,10))</f>
        <v>2</v>
      </c>
      <c r="I61" s="43">
        <f>IF($A$54="Front",VLOOKUP($Q61,'[1]Handicap Chart'!$B$4:$K$40,4),VLOOKUP($Q61,'[1]Handicap Chart'!$B$4:$K$40,3))</f>
        <v>2</v>
      </c>
      <c r="J61" s="43">
        <f>IF($A$54="Front",VLOOKUP($Q61,'[1]Handicap Chart'!$B$4:$K$40,8),VLOOKUP($Q61,'[1]Handicap Chart'!$B$4:$K$40,6))</f>
        <v>2</v>
      </c>
      <c r="K61" s="43">
        <f>IF($A$54="Front",VLOOKUP($Q61,'[1]Handicap Chart'!$B$4:$K$40,9),VLOOKUP($Q61,'[1]Handicap Chart'!$B$4:$K$40,5))</f>
        <v>2</v>
      </c>
      <c r="L61" s="43">
        <f>IF($A$54="Front",VLOOKUP($Q61,'[1]Handicap Chart'!$B$4:$K$40,5),VLOOKUP($Q61,'[1]Handicap Chart'!$B$4:$K$40,4))</f>
        <v>2</v>
      </c>
      <c r="M61" s="43">
        <f>IF($A$54="Front",VLOOKUP($Q61,'[1]Handicap Chart'!$B$4:$K$40,10),VLOOKUP($Q61,'[1]Handicap Chart'!$B$4:$K$40,9))</f>
        <v>1</v>
      </c>
      <c r="N61" s="43">
        <f>IF($A$54="Front",VLOOKUP($Q61,'[1]Handicap Chart'!$B$4:$K$40,3),VLOOKUP($Q61,'[1]Handicap Chart'!$B$4:$K$40,7))</f>
        <v>2</v>
      </c>
      <c r="O61" s="43">
        <f>IF($A$54="Front",VLOOKUP($Q61,'[1]Handicap Chart'!$B$4:$K$40,7),VLOOKUP($Q61,'[1]Handicap Chart'!$B$4:$K$40,8))</f>
        <v>2</v>
      </c>
      <c r="P61" s="43">
        <f>IF($A$54="Front",VLOOKUP($Q61,'[1]Handicap Chart'!$B$4:$K$40,6),VLOOKUP($Q61,'[1]Handicap Chart'!$B$4:$K$40,2))</f>
        <v>2</v>
      </c>
      <c r="Q61" s="56">
        <f>VLOOKUP($C60,[1]Summary!$A$4:$BL$39,50, FALSE)</f>
        <v>17</v>
      </c>
      <c r="S61" s="72" t="s">
        <v>91</v>
      </c>
      <c r="T61" s="72">
        <f>IF(OR(EXACT($E60,"Y"),(EXACT($F60,"Y"))),"-",IF(H62-T62&gt;1,-1,IF(H62-T62=0,1,IF(H62-T62=-1,3,IF(H62-T62=-2,4,IF(H62-T62=-3,5,0))))))</f>
        <v>0</v>
      </c>
      <c r="U61" s="72">
        <f t="shared" ref="U61:AB61" si="61">IF(OR(EXACT($E60,"Y"),(EXACT($F60,"Y"))),"-",IF(I62-U62&gt;1,-1,IF(I62-U62=0,1,IF(I62-U62=-1,3,IF(I62-U62=-2,4,IF(I62-U62=-3,5,0))))))</f>
        <v>0</v>
      </c>
      <c r="V61" s="72">
        <f t="shared" si="61"/>
        <v>0</v>
      </c>
      <c r="W61" s="72">
        <f t="shared" si="61"/>
        <v>0</v>
      </c>
      <c r="X61" s="72">
        <f t="shared" si="61"/>
        <v>0</v>
      </c>
      <c r="Y61" s="72">
        <f t="shared" si="61"/>
        <v>0</v>
      </c>
      <c r="Z61" s="72">
        <f t="shared" si="61"/>
        <v>0</v>
      </c>
      <c r="AA61" s="72">
        <f t="shared" si="61"/>
        <v>0</v>
      </c>
      <c r="AB61" s="72">
        <f t="shared" si="61"/>
        <v>0</v>
      </c>
      <c r="AC61" s="71">
        <f>IF(EXACT(E60,"Y"),6,IF(EXACT(F60,"Y"),2,SUM(T61:AB61)))</f>
        <v>0</v>
      </c>
      <c r="AD61" s="41"/>
      <c r="AE61" s="2"/>
      <c r="AH61" s="2"/>
    </row>
    <row r="62" spans="1:35" ht="15" thickBot="1" x14ac:dyDescent="0.45">
      <c r="A62" s="73"/>
      <c r="B62" s="74"/>
      <c r="C62" s="74"/>
      <c r="D62" s="74"/>
      <c r="E62" s="74"/>
      <c r="F62" s="74"/>
      <c r="G62" s="75" t="s">
        <v>92</v>
      </c>
      <c r="H62" s="61">
        <f t="shared" ref="H62:P62" si="62">IF(OR(EXACT($E60,"Y"),(EXACT($F60,"Y"))),"-",H60-H61)</f>
        <v>-2</v>
      </c>
      <c r="I62" s="61">
        <f t="shared" si="62"/>
        <v>-2</v>
      </c>
      <c r="J62" s="61">
        <f t="shared" si="62"/>
        <v>-2</v>
      </c>
      <c r="K62" s="61">
        <f t="shared" si="62"/>
        <v>-2</v>
      </c>
      <c r="L62" s="61">
        <f t="shared" si="62"/>
        <v>-2</v>
      </c>
      <c r="M62" s="61">
        <f t="shared" si="62"/>
        <v>-1</v>
      </c>
      <c r="N62" s="61">
        <f t="shared" si="62"/>
        <v>-2</v>
      </c>
      <c r="O62" s="61">
        <f t="shared" si="62"/>
        <v>-2</v>
      </c>
      <c r="P62" s="61">
        <f t="shared" si="62"/>
        <v>-2</v>
      </c>
      <c r="Q62" s="76">
        <f>SUM(H62:P62)</f>
        <v>-17</v>
      </c>
      <c r="S62" s="28" t="str">
        <f>$A$12</f>
        <v>Front</v>
      </c>
      <c r="T62" s="77">
        <f t="shared" ref="T62:AB62" si="63">IF($A$12="Front",T$1,T$2)</f>
        <v>4</v>
      </c>
      <c r="U62" s="77">
        <f t="shared" si="63"/>
        <v>3</v>
      </c>
      <c r="V62" s="77">
        <f t="shared" si="63"/>
        <v>4</v>
      </c>
      <c r="W62" s="77">
        <f t="shared" si="63"/>
        <v>5</v>
      </c>
      <c r="X62" s="77">
        <f t="shared" si="63"/>
        <v>4</v>
      </c>
      <c r="Y62" s="77">
        <f t="shared" si="63"/>
        <v>3</v>
      </c>
      <c r="Z62" s="77">
        <f t="shared" si="63"/>
        <v>4</v>
      </c>
      <c r="AA62" s="77">
        <f t="shared" si="63"/>
        <v>5</v>
      </c>
      <c r="AB62" s="77">
        <f t="shared" si="63"/>
        <v>4</v>
      </c>
      <c r="AC62" s="78">
        <f>SUM(T62:AB62)</f>
        <v>36</v>
      </c>
      <c r="AD62" s="41">
        <f>B57</f>
        <v>11</v>
      </c>
      <c r="AE62" s="79">
        <f>AC58+AC61</f>
        <v>0</v>
      </c>
      <c r="AF62" s="79">
        <f>IF(AC58&gt;=AC52,IF(AC58&gt;AC52,IF(AC61&gt;=AC55,IF(AC61&gt;AC55,4,3),2),IF(AC61&gt;=AC55,IF(AC61&gt;AC55,3,2),IF(AC61&gt;=AC55,IF(AC61&gt;AC55,2,1),1))),IF(AC61&gt;=AC55,IF(AC61&gt;AC55,2,1),0))</f>
        <v>2</v>
      </c>
      <c r="AG62" s="79">
        <f>IF(AE62&gt;AE56,4,IF(AE62=AE56,2,0))</f>
        <v>2</v>
      </c>
      <c r="AH62" s="80">
        <v>4</v>
      </c>
      <c r="AI62" s="80">
        <f>SUM(AF62:AH62)</f>
        <v>8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45">
      <c r="A64" s="43" t="s">
        <v>81</v>
      </c>
      <c r="B64" s="43" t="s">
        <v>0</v>
      </c>
      <c r="C64" s="43" t="s">
        <v>6</v>
      </c>
      <c r="D64" s="43" t="s">
        <v>83</v>
      </c>
      <c r="E64" s="43" t="s">
        <v>84</v>
      </c>
      <c r="F64" s="43" t="s">
        <v>85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86</v>
      </c>
      <c r="S64" s="44" t="s">
        <v>87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4">
      <c r="A65" s="47">
        <v>5</v>
      </c>
      <c r="B65" s="48">
        <v>15</v>
      </c>
      <c r="C65" s="49">
        <v>30</v>
      </c>
      <c r="D65" s="48" t="str">
        <f>VLOOKUP($C65,[1]Summary!$A$4:$BL$39,4, FALSE)</f>
        <v>Tracy Shantz</v>
      </c>
      <c r="E65" s="49"/>
      <c r="F65" s="49"/>
      <c r="G65" s="48" t="s">
        <v>88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f>SUM(H65:P65)</f>
        <v>0</v>
      </c>
      <c r="S65" s="51" t="s">
        <v>89</v>
      </c>
      <c r="T65" s="52">
        <f t="shared" ref="T65:AB65" si="64">IF(H65&gt;=T67+H66+2,SUM(T67+H66+2),H65)</f>
        <v>0</v>
      </c>
      <c r="U65" s="52">
        <f t="shared" si="64"/>
        <v>0</v>
      </c>
      <c r="V65" s="52">
        <f t="shared" si="64"/>
        <v>0</v>
      </c>
      <c r="W65" s="52">
        <f t="shared" si="64"/>
        <v>0</v>
      </c>
      <c r="X65" s="52">
        <f t="shared" si="64"/>
        <v>0</v>
      </c>
      <c r="Y65" s="52">
        <f t="shared" si="64"/>
        <v>0</v>
      </c>
      <c r="Z65" s="52">
        <f t="shared" si="64"/>
        <v>0</v>
      </c>
      <c r="AA65" s="52">
        <f t="shared" si="64"/>
        <v>0</v>
      </c>
      <c r="AB65" s="52">
        <f t="shared" si="64"/>
        <v>0</v>
      </c>
      <c r="AC65" s="53">
        <f>SUM(T65:AB65)</f>
        <v>0</v>
      </c>
      <c r="AD65" s="41"/>
      <c r="AE65" s="2"/>
      <c r="AH65" s="2"/>
    </row>
    <row r="66" spans="1:35" x14ac:dyDescent="0.4">
      <c r="A66" s="54"/>
      <c r="B66" s="55"/>
      <c r="C66" s="55"/>
      <c r="D66" s="55"/>
      <c r="E66" s="55"/>
      <c r="F66" s="55"/>
      <c r="G66" s="43" t="s">
        <v>90</v>
      </c>
      <c r="H66" s="43">
        <f>IF($A$68="Front",VLOOKUP($Q66,'[1]Handicap Chart'!$B$4:$K$40,2),VLOOKUP($Q66,'[1]Handicap Chart'!$B$4:$K$40,10))</f>
        <v>1</v>
      </c>
      <c r="I66" s="43">
        <f>IF($A$68="Front",VLOOKUP($Q66,'[1]Handicap Chart'!$B$4:$K$40,4),VLOOKUP($Q66,'[1]Handicap Chart'!$B$4:$K$40,3))</f>
        <v>1</v>
      </c>
      <c r="J66" s="43">
        <f>IF($A$68="Front",VLOOKUP($Q66,'[1]Handicap Chart'!$B$4:$K$40,8),VLOOKUP($Q66,'[1]Handicap Chart'!$B$4:$K$40,6))</f>
        <v>1</v>
      </c>
      <c r="K66" s="43">
        <f>IF($A$68="Front",VLOOKUP($Q66,'[1]Handicap Chart'!$B$4:$K$40,9),VLOOKUP($Q66,'[1]Handicap Chart'!$B$4:$K$40,5))</f>
        <v>1</v>
      </c>
      <c r="L66" s="43">
        <f>IF($A$68="Front",VLOOKUP($Q66,'[1]Handicap Chart'!$B$4:$K$40,5),VLOOKUP($Q66,'[1]Handicap Chart'!$B$4:$K$40,4))</f>
        <v>1</v>
      </c>
      <c r="M66" s="43">
        <f>IF($A$68="Front",VLOOKUP($Q66,'[1]Handicap Chart'!$B$4:$K$40,10),VLOOKUP($Q66,'[1]Handicap Chart'!$B$4:$K$40,9))</f>
        <v>0</v>
      </c>
      <c r="N66" s="43">
        <f>IF($A$68="Front",VLOOKUP($Q66,'[1]Handicap Chart'!$B$4:$K$40,3),VLOOKUP($Q66,'[1]Handicap Chart'!$B$4:$K$40,7))</f>
        <v>1</v>
      </c>
      <c r="O66" s="43">
        <f>IF($A$68="Front",VLOOKUP($Q66,'[1]Handicap Chart'!$B$4:$K$40,7),VLOOKUP($Q66,'[1]Handicap Chart'!$B$4:$K$40,8))</f>
        <v>1</v>
      </c>
      <c r="P66" s="43">
        <f>IF($A$68="Front",VLOOKUP($Q66,'[1]Handicap Chart'!$B$4:$K$40,6),VLOOKUP($Q66,'[1]Handicap Chart'!$B$4:$K$40,2))</f>
        <v>1</v>
      </c>
      <c r="Q66" s="56">
        <f>VLOOKUP($C65,[1]Summary!$A$4:$BL$39,50, FALSE)</f>
        <v>8</v>
      </c>
      <c r="S66" s="57" t="s">
        <v>91</v>
      </c>
      <c r="T66" s="58">
        <f t="shared" ref="T66:AB66" si="65">IF(OR(EXACT($E65,"Y"),(EXACT($F65,"Y"))),"-",IF(H67-T67&gt;1,-1,IF(H67-T67=0,1,IF(H67-T67=-1,3,IF(H67-T67=-2,4,IF(H67-T67=-3,5,0))))))</f>
        <v>0</v>
      </c>
      <c r="U66" s="58">
        <f t="shared" si="65"/>
        <v>0</v>
      </c>
      <c r="V66" s="58">
        <f t="shared" si="65"/>
        <v>0</v>
      </c>
      <c r="W66" s="58">
        <f t="shared" si="65"/>
        <v>0</v>
      </c>
      <c r="X66" s="58">
        <f t="shared" si="65"/>
        <v>0</v>
      </c>
      <c r="Y66" s="58">
        <f t="shared" si="65"/>
        <v>5</v>
      </c>
      <c r="Z66" s="58">
        <f t="shared" si="65"/>
        <v>0</v>
      </c>
      <c r="AA66" s="58">
        <f t="shared" si="65"/>
        <v>0</v>
      </c>
      <c r="AB66" s="58">
        <f t="shared" si="65"/>
        <v>0</v>
      </c>
      <c r="AC66" s="59">
        <f>IF(EXACT(E65,"Y"),6,IF(EXACT(F65,"Y"),2,SUM(T66:AB66)))</f>
        <v>5</v>
      </c>
      <c r="AD66" s="41"/>
      <c r="AE66" s="2"/>
      <c r="AH66" s="2"/>
    </row>
    <row r="67" spans="1:35" ht="15" thickBot="1" x14ac:dyDescent="0.45">
      <c r="A67" s="54"/>
      <c r="B67" s="55"/>
      <c r="C67" s="55"/>
      <c r="D67" s="55"/>
      <c r="E67" s="55"/>
      <c r="F67" s="55"/>
      <c r="G67" s="60" t="s">
        <v>92</v>
      </c>
      <c r="H67" s="61">
        <f t="shared" ref="H67:P67" si="66">IF(OR(EXACT($E65,"Y"),(EXACT($F65,"Y"))),"-",H65-H66)</f>
        <v>-1</v>
      </c>
      <c r="I67" s="61">
        <f t="shared" si="66"/>
        <v>-1</v>
      </c>
      <c r="J67" s="61">
        <f t="shared" si="66"/>
        <v>-1</v>
      </c>
      <c r="K67" s="61">
        <f t="shared" si="66"/>
        <v>-1</v>
      </c>
      <c r="L67" s="61">
        <f t="shared" si="66"/>
        <v>-1</v>
      </c>
      <c r="M67" s="61">
        <f t="shared" si="66"/>
        <v>0</v>
      </c>
      <c r="N67" s="61">
        <f t="shared" si="66"/>
        <v>-1</v>
      </c>
      <c r="O67" s="61">
        <f t="shared" si="66"/>
        <v>-1</v>
      </c>
      <c r="P67" s="61">
        <f t="shared" si="66"/>
        <v>-1</v>
      </c>
      <c r="Q67" s="62">
        <f>SUM(H67:P67)</f>
        <v>-8</v>
      </c>
      <c r="S67" s="63" t="str">
        <f>$A$12</f>
        <v>Front</v>
      </c>
      <c r="T67" s="43">
        <f t="shared" ref="T67:AB67" si="67">IF($A$12="Front",T$1,T$2)</f>
        <v>4</v>
      </c>
      <c r="U67" s="43">
        <f t="shared" si="67"/>
        <v>3</v>
      </c>
      <c r="V67" s="43">
        <f t="shared" si="67"/>
        <v>4</v>
      </c>
      <c r="W67" s="43">
        <f t="shared" si="67"/>
        <v>5</v>
      </c>
      <c r="X67" s="43">
        <f t="shared" si="67"/>
        <v>4</v>
      </c>
      <c r="Y67" s="43">
        <f t="shared" si="67"/>
        <v>3</v>
      </c>
      <c r="Z67" s="43">
        <f t="shared" si="67"/>
        <v>4</v>
      </c>
      <c r="AA67" s="43">
        <f t="shared" si="67"/>
        <v>5</v>
      </c>
      <c r="AB67" s="43">
        <f t="shared" si="67"/>
        <v>4</v>
      </c>
      <c r="AC67" s="56">
        <f>SUM(T67:AB67)</f>
        <v>36</v>
      </c>
      <c r="AD67" s="41"/>
      <c r="AE67" s="2"/>
      <c r="AH67" s="2"/>
    </row>
    <row r="68" spans="1:35" x14ac:dyDescent="0.4">
      <c r="A68" s="64" t="s">
        <v>73</v>
      </c>
      <c r="B68" s="58">
        <v>15</v>
      </c>
      <c r="C68" s="65">
        <v>29</v>
      </c>
      <c r="D68" s="48" t="str">
        <f>VLOOKUP($C68,[1]Summary!$A$4:$BL$39,4, FALSE)</f>
        <v>Jesse Jurden</v>
      </c>
      <c r="E68" s="65"/>
      <c r="F68" s="65"/>
      <c r="G68" s="58" t="s">
        <v>88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f>SUM(H68:P68)</f>
        <v>0</v>
      </c>
      <c r="S68" s="66" t="s">
        <v>89</v>
      </c>
      <c r="T68" s="52">
        <f>IF(H68&gt;=T70+H69+2,SUM(T70+H69+2),H68)</f>
        <v>0</v>
      </c>
      <c r="U68" s="52">
        <f t="shared" ref="U68:AB68" si="68">IF(I68&gt;=U70+I69+2,SUM(U70+I69+2),I68)</f>
        <v>0</v>
      </c>
      <c r="V68" s="52">
        <f t="shared" si="68"/>
        <v>0</v>
      </c>
      <c r="W68" s="52">
        <f t="shared" si="68"/>
        <v>0</v>
      </c>
      <c r="X68" s="52">
        <f t="shared" si="68"/>
        <v>0</v>
      </c>
      <c r="Y68" s="52">
        <f t="shared" si="68"/>
        <v>0</v>
      </c>
      <c r="Z68" s="52">
        <f t="shared" si="68"/>
        <v>0</v>
      </c>
      <c r="AA68" s="52">
        <f t="shared" si="68"/>
        <v>0</v>
      </c>
      <c r="AB68" s="52">
        <f t="shared" si="68"/>
        <v>0</v>
      </c>
      <c r="AC68" s="62">
        <f>SUM(T68:AB68)</f>
        <v>0</v>
      </c>
      <c r="AD68" s="41"/>
      <c r="AE68" s="2"/>
      <c r="AH68" s="2"/>
    </row>
    <row r="69" spans="1:35" ht="15" thickBot="1" x14ac:dyDescent="0.45">
      <c r="A69" s="54"/>
      <c r="B69" s="55"/>
      <c r="C69" s="55"/>
      <c r="D69" s="55"/>
      <c r="E69" s="55"/>
      <c r="F69" s="55"/>
      <c r="G69" s="43" t="s">
        <v>90</v>
      </c>
      <c r="H69" s="43">
        <f>IF($A$68="Front",VLOOKUP($Q69,'[1]Handicap Chart'!$B$4:$K$40,2),VLOOKUP($Q69,'[1]Handicap Chart'!$B$4:$K$40,10))</f>
        <v>2</v>
      </c>
      <c r="I69" s="43">
        <f>IF($A$68="Front",VLOOKUP($Q69,'[1]Handicap Chart'!$B$4:$K$40,4),VLOOKUP($Q69,'[1]Handicap Chart'!$B$4:$K$40,3))</f>
        <v>2</v>
      </c>
      <c r="J69" s="43">
        <f>IF($A$68="Front",VLOOKUP($Q69,'[1]Handicap Chart'!$B$4:$K$40,8),VLOOKUP($Q69,'[1]Handicap Chart'!$B$4:$K$40,6))</f>
        <v>1</v>
      </c>
      <c r="K69" s="43">
        <f>IF($A$68="Front",VLOOKUP($Q69,'[1]Handicap Chart'!$B$4:$K$40,9),VLOOKUP($Q69,'[1]Handicap Chart'!$B$4:$K$40,5))</f>
        <v>1</v>
      </c>
      <c r="L69" s="43">
        <f>IF($A$68="Front",VLOOKUP($Q69,'[1]Handicap Chart'!$B$4:$K$40,5),VLOOKUP($Q69,'[1]Handicap Chart'!$B$4:$K$40,4))</f>
        <v>2</v>
      </c>
      <c r="M69" s="43">
        <f>IF($A$68="Front",VLOOKUP($Q69,'[1]Handicap Chart'!$B$4:$K$40,10),VLOOKUP($Q69,'[1]Handicap Chart'!$B$4:$K$40,9))</f>
        <v>1</v>
      </c>
      <c r="N69" s="43">
        <f>IF($A$68="Front",VLOOKUP($Q69,'[1]Handicap Chart'!$B$4:$K$40,3),VLOOKUP($Q69,'[1]Handicap Chart'!$B$4:$K$40,7))</f>
        <v>2</v>
      </c>
      <c r="O69" s="43">
        <f>IF($A$68="Front",VLOOKUP($Q69,'[1]Handicap Chart'!$B$4:$K$40,7),VLOOKUP($Q69,'[1]Handicap Chart'!$B$4:$K$40,8))</f>
        <v>1</v>
      </c>
      <c r="P69" s="43">
        <f>IF($A$68="Front",VLOOKUP($Q69,'[1]Handicap Chart'!$B$4:$K$40,6),VLOOKUP($Q69,'[1]Handicap Chart'!$B$4:$K$40,2))</f>
        <v>1</v>
      </c>
      <c r="Q69" s="56">
        <f>VLOOKUP($C68,[1]Summary!$A$4:$BL$39,50, FALSE)</f>
        <v>13</v>
      </c>
      <c r="S69" s="57" t="s">
        <v>91</v>
      </c>
      <c r="T69" s="58">
        <f t="shared" ref="T69:AB69" si="69">IF(OR(EXACT($E68,"Y"),(EXACT($F68,"Y"))),"-",IF(H70-T70&gt;1,-1,IF(H70-T70=0,1,IF(H70-T70=-1,3,IF(H70-T70=-2,4,IF(H70-T70=-3,5,0))))))</f>
        <v>0</v>
      </c>
      <c r="U69" s="58">
        <f t="shared" si="69"/>
        <v>0</v>
      </c>
      <c r="V69" s="58">
        <f t="shared" si="69"/>
        <v>0</v>
      </c>
      <c r="W69" s="58">
        <f t="shared" si="69"/>
        <v>0</v>
      </c>
      <c r="X69" s="58">
        <f t="shared" si="69"/>
        <v>0</v>
      </c>
      <c r="Y69" s="58">
        <f t="shared" si="69"/>
        <v>0</v>
      </c>
      <c r="Z69" s="58">
        <f t="shared" si="69"/>
        <v>0</v>
      </c>
      <c r="AA69" s="58">
        <f t="shared" si="69"/>
        <v>0</v>
      </c>
      <c r="AB69" s="58">
        <f t="shared" si="69"/>
        <v>0</v>
      </c>
      <c r="AC69" s="59">
        <f>IF(EXACT(E68,"Y"),6,IF(EXACT(F68,"Y"),2,SUM(T69:AB69)))</f>
        <v>0</v>
      </c>
      <c r="AD69" s="41"/>
      <c r="AE69" s="2"/>
      <c r="AH69" s="2"/>
    </row>
    <row r="70" spans="1:35" ht="15" thickBot="1" x14ac:dyDescent="0.45">
      <c r="A70" s="54"/>
      <c r="B70" s="55"/>
      <c r="C70" s="55"/>
      <c r="D70" s="55"/>
      <c r="E70" s="55"/>
      <c r="F70" s="55"/>
      <c r="G70" s="60" t="s">
        <v>92</v>
      </c>
      <c r="H70" s="61">
        <f t="shared" ref="H70:P70" si="70">IF(OR(EXACT($E68,"Y"),(EXACT($F68,"Y"))),"-",H68-H69)</f>
        <v>-2</v>
      </c>
      <c r="I70" s="61">
        <f t="shared" si="70"/>
        <v>-2</v>
      </c>
      <c r="J70" s="61">
        <f t="shared" si="70"/>
        <v>-1</v>
      </c>
      <c r="K70" s="61">
        <f t="shared" si="70"/>
        <v>-1</v>
      </c>
      <c r="L70" s="61">
        <f t="shared" si="70"/>
        <v>-2</v>
      </c>
      <c r="M70" s="61">
        <f t="shared" si="70"/>
        <v>-1</v>
      </c>
      <c r="N70" s="61">
        <f t="shared" si="70"/>
        <v>-2</v>
      </c>
      <c r="O70" s="61">
        <f t="shared" si="70"/>
        <v>-1</v>
      </c>
      <c r="P70" s="61">
        <f t="shared" si="70"/>
        <v>-1</v>
      </c>
      <c r="Q70" s="62">
        <f>SUM(H70:P70)</f>
        <v>-13</v>
      </c>
      <c r="S70" s="63" t="str">
        <f>$A$12</f>
        <v>Front</v>
      </c>
      <c r="T70" s="43">
        <f t="shared" ref="T70:AB70" si="71">IF($A$12="Front",T$1,T$2)</f>
        <v>4</v>
      </c>
      <c r="U70" s="43">
        <f t="shared" si="71"/>
        <v>3</v>
      </c>
      <c r="V70" s="43">
        <f t="shared" si="71"/>
        <v>4</v>
      </c>
      <c r="W70" s="43">
        <f t="shared" si="71"/>
        <v>5</v>
      </c>
      <c r="X70" s="43">
        <f t="shared" si="71"/>
        <v>4</v>
      </c>
      <c r="Y70" s="43">
        <f t="shared" si="71"/>
        <v>3</v>
      </c>
      <c r="Z70" s="43">
        <f t="shared" si="71"/>
        <v>4</v>
      </c>
      <c r="AA70" s="43">
        <f t="shared" si="71"/>
        <v>5</v>
      </c>
      <c r="AB70" s="43">
        <f t="shared" si="71"/>
        <v>4</v>
      </c>
      <c r="AC70" s="56">
        <f>SUM(T70:AB70)</f>
        <v>36</v>
      </c>
      <c r="AD70" s="41">
        <f>B65</f>
        <v>15</v>
      </c>
      <c r="AE70" s="81">
        <f>AC66+AC69</f>
        <v>5</v>
      </c>
      <c r="AF70" s="67">
        <f>IF(AC66&gt;=AC72,IF(AC66&gt;AC72,IF(AC69&gt;=AC75,IF(AC69&gt;AC75,4,3),2),IF(AC69&gt;=AC75,IF(AC69&gt;AC75,3,2),IF(AC69&gt;=AC75,IF(AC69&gt;AC75,2,1),1))),IF(AC69&gt;=AC75,IF(AC69&gt;AC75,2,1),0))</f>
        <v>3</v>
      </c>
      <c r="AG70" s="67">
        <f>IF(AE70&gt;AE76,4,IF(AE70=AE76,2,0))</f>
        <v>4</v>
      </c>
      <c r="AH70" s="68">
        <v>2</v>
      </c>
      <c r="AI70" s="68">
        <f>SUM(AF70:AH70)</f>
        <v>9</v>
      </c>
    </row>
    <row r="71" spans="1:35" x14ac:dyDescent="0.4">
      <c r="A71" s="64" t="s">
        <v>93</v>
      </c>
      <c r="B71" s="69">
        <v>18</v>
      </c>
      <c r="C71" s="70">
        <v>36</v>
      </c>
      <c r="D71" s="69" t="str">
        <f>VLOOKUP($C71,[1]Summary!$A$4:$BL$39,4, FALSE)</f>
        <v>Mark Mitchell</v>
      </c>
      <c r="E71" s="70"/>
      <c r="F71" s="70"/>
      <c r="G71" s="69" t="s">
        <v>88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f>SUM(H71:P71)</f>
        <v>0</v>
      </c>
      <c r="S71" s="66" t="s">
        <v>89</v>
      </c>
      <c r="T71" s="52">
        <f t="shared" ref="T71:AB71" si="72">IF(H71&gt;=T73+H72+2,SUM(T73+H72+2),H71)</f>
        <v>0</v>
      </c>
      <c r="U71" s="52">
        <f t="shared" si="72"/>
        <v>0</v>
      </c>
      <c r="V71" s="52">
        <f t="shared" si="72"/>
        <v>0</v>
      </c>
      <c r="W71" s="52">
        <f t="shared" si="72"/>
        <v>0</v>
      </c>
      <c r="X71" s="52">
        <f t="shared" si="72"/>
        <v>0</v>
      </c>
      <c r="Y71" s="52">
        <f t="shared" si="72"/>
        <v>0</v>
      </c>
      <c r="Z71" s="52">
        <f t="shared" si="72"/>
        <v>0</v>
      </c>
      <c r="AA71" s="52">
        <f t="shared" si="72"/>
        <v>0</v>
      </c>
      <c r="AB71" s="52">
        <f t="shared" si="72"/>
        <v>0</v>
      </c>
      <c r="AC71" s="62">
        <f>SUM(T71:AB71)</f>
        <v>0</v>
      </c>
      <c r="AD71" s="41"/>
      <c r="AE71" s="2"/>
      <c r="AH71" s="2"/>
    </row>
    <row r="72" spans="1:35" x14ac:dyDescent="0.4">
      <c r="A72" s="54"/>
      <c r="B72" s="55"/>
      <c r="C72" s="55"/>
      <c r="D72" s="55"/>
      <c r="E72" s="55"/>
      <c r="F72" s="55"/>
      <c r="G72" s="43" t="s">
        <v>90</v>
      </c>
      <c r="H72" s="43">
        <f>IF($A$68="Front",VLOOKUP($Q72,'[1]Handicap Chart'!$B$4:$K$40,2),VLOOKUP($Q72,'[1]Handicap Chart'!$B$4:$K$40,10))</f>
        <v>2</v>
      </c>
      <c r="I72" s="43">
        <f>IF($A$68="Front",VLOOKUP($Q72,'[1]Handicap Chart'!$B$4:$K$40,4),VLOOKUP($Q72,'[1]Handicap Chart'!$B$4:$K$40,3))</f>
        <v>2</v>
      </c>
      <c r="J72" s="43">
        <f>IF($A$68="Front",VLOOKUP($Q72,'[1]Handicap Chart'!$B$4:$K$40,8),VLOOKUP($Q72,'[1]Handicap Chart'!$B$4:$K$40,6))</f>
        <v>1</v>
      </c>
      <c r="K72" s="43">
        <f>IF($A$68="Front",VLOOKUP($Q72,'[1]Handicap Chart'!$B$4:$K$40,9),VLOOKUP($Q72,'[1]Handicap Chart'!$B$4:$K$40,5))</f>
        <v>1</v>
      </c>
      <c r="L72" s="43">
        <f>IF($A$68="Front",VLOOKUP($Q72,'[1]Handicap Chart'!$B$4:$K$40,5),VLOOKUP($Q72,'[1]Handicap Chart'!$B$4:$K$40,4))</f>
        <v>1</v>
      </c>
      <c r="M72" s="43">
        <f>IF($A$68="Front",VLOOKUP($Q72,'[1]Handicap Chart'!$B$4:$K$40,10),VLOOKUP($Q72,'[1]Handicap Chart'!$B$4:$K$40,9))</f>
        <v>1</v>
      </c>
      <c r="N72" s="43">
        <f>IF($A$68="Front",VLOOKUP($Q72,'[1]Handicap Chart'!$B$4:$K$40,3),VLOOKUP($Q72,'[1]Handicap Chart'!$B$4:$K$40,7))</f>
        <v>2</v>
      </c>
      <c r="O72" s="43">
        <f>IF($A$68="Front",VLOOKUP($Q72,'[1]Handicap Chart'!$B$4:$K$40,7),VLOOKUP($Q72,'[1]Handicap Chart'!$B$4:$K$40,8))</f>
        <v>1</v>
      </c>
      <c r="P72" s="43">
        <f>IF($A$68="Front",VLOOKUP($Q72,'[1]Handicap Chart'!$B$4:$K$40,6),VLOOKUP($Q72,'[1]Handicap Chart'!$B$4:$K$40,2))</f>
        <v>1</v>
      </c>
      <c r="Q72" s="56">
        <f>VLOOKUP($C71,[1]Summary!$A$4:$BL$39,50, FALSE)</f>
        <v>12</v>
      </c>
      <c r="S72" s="72" t="s">
        <v>91</v>
      </c>
      <c r="T72" s="72">
        <f>IF(OR(EXACT($E71,"Y"),(EXACT($F71,"Y"))),"-",IF(H73-T73&gt;1,-1,IF(H73-T73=0,1,IF(H73-T73=-1,3,IF(H73-T73=-2,4,IF(H73-T73=-3,5,0))))))</f>
        <v>0</v>
      </c>
      <c r="U72" s="72">
        <f t="shared" ref="U72:AB72" si="73">IF(OR(EXACT($E71,"Y"),(EXACT($F71,"Y"))),"-",IF(I73-U73&gt;1,-1,IF(I73-U73=0,1,IF(I73-U73=-1,3,IF(I73-U73=-2,4,IF(I73-U73=-3,5,0))))))</f>
        <v>0</v>
      </c>
      <c r="V72" s="72">
        <f t="shared" si="73"/>
        <v>0</v>
      </c>
      <c r="W72" s="72">
        <f t="shared" si="73"/>
        <v>0</v>
      </c>
      <c r="X72" s="72">
        <f t="shared" si="73"/>
        <v>0</v>
      </c>
      <c r="Y72" s="72">
        <f t="shared" si="73"/>
        <v>0</v>
      </c>
      <c r="Z72" s="72">
        <f t="shared" si="73"/>
        <v>0</v>
      </c>
      <c r="AA72" s="72">
        <f t="shared" si="73"/>
        <v>0</v>
      </c>
      <c r="AB72" s="72">
        <f t="shared" si="73"/>
        <v>0</v>
      </c>
      <c r="AC72" s="71">
        <f>IF(EXACT(E71,"Y"),6,IF(EXACT(F71,"Y"),2,SUM(T72:AB72)))</f>
        <v>0</v>
      </c>
      <c r="AD72" s="41"/>
      <c r="AE72" s="2"/>
      <c r="AH72" s="2"/>
    </row>
    <row r="73" spans="1:35" x14ac:dyDescent="0.4">
      <c r="A73" s="54"/>
      <c r="B73" s="55"/>
      <c r="C73" s="55"/>
      <c r="D73" s="55"/>
      <c r="E73" s="55"/>
      <c r="F73" s="55"/>
      <c r="G73" s="60" t="s">
        <v>92</v>
      </c>
      <c r="H73" s="61">
        <f t="shared" ref="H73:P73" si="74">IF(OR(EXACT($E71,"Y"),(EXACT($F71,"Y"))),"-",H71-H72)</f>
        <v>-2</v>
      </c>
      <c r="I73" s="61">
        <f t="shared" si="74"/>
        <v>-2</v>
      </c>
      <c r="J73" s="61">
        <f t="shared" si="74"/>
        <v>-1</v>
      </c>
      <c r="K73" s="61">
        <f t="shared" si="74"/>
        <v>-1</v>
      </c>
      <c r="L73" s="61">
        <f t="shared" si="74"/>
        <v>-1</v>
      </c>
      <c r="M73" s="61">
        <f t="shared" si="74"/>
        <v>-1</v>
      </c>
      <c r="N73" s="61">
        <f t="shared" si="74"/>
        <v>-2</v>
      </c>
      <c r="O73" s="61">
        <f t="shared" si="74"/>
        <v>-1</v>
      </c>
      <c r="P73" s="61">
        <f t="shared" si="74"/>
        <v>-1</v>
      </c>
      <c r="Q73" s="62">
        <f>SUM(H73:P73)</f>
        <v>-12</v>
      </c>
      <c r="S73" s="63" t="str">
        <f>$A$12</f>
        <v>Front</v>
      </c>
      <c r="T73" s="43">
        <f t="shared" ref="T73:AB73" si="75">IF($A$12="Front",T$1,T$2)</f>
        <v>4</v>
      </c>
      <c r="U73" s="43">
        <f t="shared" si="75"/>
        <v>3</v>
      </c>
      <c r="V73" s="43">
        <f t="shared" si="75"/>
        <v>4</v>
      </c>
      <c r="W73" s="43">
        <f t="shared" si="75"/>
        <v>5</v>
      </c>
      <c r="X73" s="43">
        <f t="shared" si="75"/>
        <v>4</v>
      </c>
      <c r="Y73" s="43">
        <f t="shared" si="75"/>
        <v>3</v>
      </c>
      <c r="Z73" s="43">
        <f t="shared" si="75"/>
        <v>4</v>
      </c>
      <c r="AA73" s="43">
        <f t="shared" si="75"/>
        <v>5</v>
      </c>
      <c r="AB73" s="43">
        <f t="shared" si="75"/>
        <v>4</v>
      </c>
      <c r="AC73" s="56">
        <f>SUM(T73:AB73)</f>
        <v>36</v>
      </c>
      <c r="AD73" s="41"/>
      <c r="AE73" s="2"/>
      <c r="AH73" s="2"/>
    </row>
    <row r="74" spans="1:35" x14ac:dyDescent="0.4">
      <c r="A74" s="64" t="s">
        <v>98</v>
      </c>
      <c r="B74" s="69">
        <v>18</v>
      </c>
      <c r="C74" s="70">
        <v>35</v>
      </c>
      <c r="D74" s="69" t="str">
        <f>VLOOKUP($C74,[1]Summary!$A$4:$BL$39,4, FALSE)</f>
        <v>Barry Pavelik</v>
      </c>
      <c r="E74" s="70"/>
      <c r="F74" s="70"/>
      <c r="G74" s="69" t="s">
        <v>88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f>SUM(H74:P74)</f>
        <v>0</v>
      </c>
      <c r="S74" s="66" t="s">
        <v>89</v>
      </c>
      <c r="T74" s="52">
        <f t="shared" ref="T74:AB74" si="76">IF(H74&gt;=T76+H75+2,SUM(T76+H75+2),H74)</f>
        <v>0</v>
      </c>
      <c r="U74" s="52">
        <f t="shared" si="76"/>
        <v>0</v>
      </c>
      <c r="V74" s="52">
        <f t="shared" si="76"/>
        <v>0</v>
      </c>
      <c r="W74" s="52">
        <f t="shared" si="76"/>
        <v>0</v>
      </c>
      <c r="X74" s="52">
        <f t="shared" si="76"/>
        <v>0</v>
      </c>
      <c r="Y74" s="52">
        <f t="shared" si="76"/>
        <v>0</v>
      </c>
      <c r="Z74" s="52">
        <f t="shared" si="76"/>
        <v>0</v>
      </c>
      <c r="AA74" s="52">
        <f t="shared" si="76"/>
        <v>0</v>
      </c>
      <c r="AB74" s="52">
        <f t="shared" si="76"/>
        <v>0</v>
      </c>
      <c r="AC74" s="62">
        <f>SUM(T74:AB74)</f>
        <v>0</v>
      </c>
      <c r="AD74" s="41"/>
      <c r="AE74" s="2"/>
      <c r="AH74" s="2"/>
    </row>
    <row r="75" spans="1:35" ht="15" thickBot="1" x14ac:dyDescent="0.45">
      <c r="A75" s="54"/>
      <c r="B75" s="55"/>
      <c r="C75" s="55"/>
      <c r="D75" s="55"/>
      <c r="E75" s="55"/>
      <c r="F75" s="55"/>
      <c r="G75" s="43" t="s">
        <v>90</v>
      </c>
      <c r="H75" s="43">
        <f>IF($A$68="Front",VLOOKUP($Q75,'[1]Handicap Chart'!$B$4:$K$40,2),VLOOKUP($Q75,'[1]Handicap Chart'!$B$4:$K$40,10))</f>
        <v>3</v>
      </c>
      <c r="I75" s="43">
        <f>IF($A$68="Front",VLOOKUP($Q75,'[1]Handicap Chart'!$B$4:$K$40,4),VLOOKUP($Q75,'[1]Handicap Chart'!$B$4:$K$40,3))</f>
        <v>2</v>
      </c>
      <c r="J75" s="43">
        <f>IF($A$68="Front",VLOOKUP($Q75,'[1]Handicap Chart'!$B$4:$K$40,8),VLOOKUP($Q75,'[1]Handicap Chart'!$B$4:$K$40,6))</f>
        <v>2</v>
      </c>
      <c r="K75" s="43">
        <f>IF($A$68="Front",VLOOKUP($Q75,'[1]Handicap Chart'!$B$4:$K$40,9),VLOOKUP($Q75,'[1]Handicap Chart'!$B$4:$K$40,5))</f>
        <v>2</v>
      </c>
      <c r="L75" s="43">
        <f>IF($A$68="Front",VLOOKUP($Q75,'[1]Handicap Chart'!$B$4:$K$40,5),VLOOKUP($Q75,'[1]Handicap Chart'!$B$4:$K$40,4))</f>
        <v>2</v>
      </c>
      <c r="M75" s="43">
        <f>IF($A$68="Front",VLOOKUP($Q75,'[1]Handicap Chart'!$B$4:$K$40,10),VLOOKUP($Q75,'[1]Handicap Chart'!$B$4:$K$40,9))</f>
        <v>2</v>
      </c>
      <c r="N75" s="43">
        <f>IF($A$68="Front",VLOOKUP($Q75,'[1]Handicap Chart'!$B$4:$K$40,3),VLOOKUP($Q75,'[1]Handicap Chart'!$B$4:$K$40,7))</f>
        <v>3</v>
      </c>
      <c r="O75" s="43">
        <f>IF($A$68="Front",VLOOKUP($Q75,'[1]Handicap Chart'!$B$4:$K$40,7),VLOOKUP($Q75,'[1]Handicap Chart'!$B$4:$K$40,8))</f>
        <v>2</v>
      </c>
      <c r="P75" s="43">
        <f>IF($A$68="Front",VLOOKUP($Q75,'[1]Handicap Chart'!$B$4:$K$40,6),VLOOKUP($Q75,'[1]Handicap Chart'!$B$4:$K$40,2))</f>
        <v>2</v>
      </c>
      <c r="Q75" s="56">
        <f>VLOOKUP($C74,[1]Summary!$A$4:$BL$39,50, FALSE)</f>
        <v>20</v>
      </c>
      <c r="S75" s="72" t="s">
        <v>91</v>
      </c>
      <c r="T75" s="72">
        <f>IF(OR(EXACT($E74,"Y"),(EXACT($F74,"Y"))),"-",IF(H76-T76&gt;1,-1,IF(H76-T76=0,1,IF(H76-T76=-1,3,IF(H76-T76=-2,4,IF(H76-T76=-3,5,0))))))</f>
        <v>0</v>
      </c>
      <c r="U75" s="72">
        <f t="shared" ref="U75:AB75" si="77">IF(OR(EXACT($E74,"Y"),(EXACT($F74,"Y"))),"-",IF(I76-U76&gt;1,-1,IF(I76-U76=0,1,IF(I76-U76=-1,3,IF(I76-U76=-2,4,IF(I76-U76=-3,5,0))))))</f>
        <v>0</v>
      </c>
      <c r="V75" s="72">
        <f t="shared" si="77"/>
        <v>0</v>
      </c>
      <c r="W75" s="72">
        <f t="shared" si="77"/>
        <v>0</v>
      </c>
      <c r="X75" s="72">
        <f t="shared" si="77"/>
        <v>0</v>
      </c>
      <c r="Y75" s="72">
        <f t="shared" si="77"/>
        <v>0</v>
      </c>
      <c r="Z75" s="72">
        <f t="shared" si="77"/>
        <v>0</v>
      </c>
      <c r="AA75" s="72">
        <f t="shared" si="77"/>
        <v>0</v>
      </c>
      <c r="AB75" s="72">
        <f t="shared" si="77"/>
        <v>0</v>
      </c>
      <c r="AC75" s="71">
        <f>IF(EXACT(E74,"Y"),6,IF(EXACT(F74,"Y"),2,SUM(T75:AB75)))</f>
        <v>0</v>
      </c>
      <c r="AD75" s="41"/>
      <c r="AE75" s="2"/>
      <c r="AH75" s="2"/>
    </row>
    <row r="76" spans="1:35" ht="15" thickBot="1" x14ac:dyDescent="0.45">
      <c r="A76" s="73"/>
      <c r="B76" s="74"/>
      <c r="C76" s="74"/>
      <c r="D76" s="74"/>
      <c r="E76" s="74"/>
      <c r="F76" s="74"/>
      <c r="G76" s="75" t="s">
        <v>92</v>
      </c>
      <c r="H76" s="61">
        <f t="shared" ref="H76:P76" si="78">IF(OR(EXACT($E74,"Y"),(EXACT($F74,"Y"))),"-",H74-H75)</f>
        <v>-3</v>
      </c>
      <c r="I76" s="61">
        <f t="shared" si="78"/>
        <v>-2</v>
      </c>
      <c r="J76" s="61">
        <f t="shared" si="78"/>
        <v>-2</v>
      </c>
      <c r="K76" s="61">
        <f t="shared" si="78"/>
        <v>-2</v>
      </c>
      <c r="L76" s="61">
        <f t="shared" si="78"/>
        <v>-2</v>
      </c>
      <c r="M76" s="61">
        <f t="shared" si="78"/>
        <v>-2</v>
      </c>
      <c r="N76" s="61">
        <f t="shared" si="78"/>
        <v>-3</v>
      </c>
      <c r="O76" s="61">
        <f t="shared" si="78"/>
        <v>-2</v>
      </c>
      <c r="P76" s="61">
        <f t="shared" si="78"/>
        <v>-2</v>
      </c>
      <c r="Q76" s="76">
        <f>SUM(H76:P76)</f>
        <v>-20</v>
      </c>
      <c r="S76" s="28" t="str">
        <f>$A$12</f>
        <v>Front</v>
      </c>
      <c r="T76" s="77">
        <f t="shared" ref="T76:AB76" si="79">IF($A$12="Front",T$1,T$2)</f>
        <v>4</v>
      </c>
      <c r="U76" s="77">
        <f t="shared" si="79"/>
        <v>3</v>
      </c>
      <c r="V76" s="77">
        <f t="shared" si="79"/>
        <v>4</v>
      </c>
      <c r="W76" s="77">
        <f t="shared" si="79"/>
        <v>5</v>
      </c>
      <c r="X76" s="77">
        <f t="shared" si="79"/>
        <v>4</v>
      </c>
      <c r="Y76" s="77">
        <f t="shared" si="79"/>
        <v>3</v>
      </c>
      <c r="Z76" s="77">
        <f t="shared" si="79"/>
        <v>4</v>
      </c>
      <c r="AA76" s="77">
        <f t="shared" si="79"/>
        <v>5</v>
      </c>
      <c r="AB76" s="77">
        <f t="shared" si="79"/>
        <v>4</v>
      </c>
      <c r="AC76" s="78">
        <f>SUM(T76:AB76)</f>
        <v>36</v>
      </c>
      <c r="AD76" s="41">
        <f>B71</f>
        <v>18</v>
      </c>
      <c r="AE76" s="79">
        <f>AC72+AC75</f>
        <v>0</v>
      </c>
      <c r="AF76" s="79">
        <f>IF(AC72&gt;=AC66,IF(AC72&gt;AC66,IF(AC75&gt;=AC69,IF(AC75&gt;AC69,4,3),2),IF(AC75&gt;=AC69,IF(AC75&gt;AC69,3,2),IF(AC75&gt;=AC69,IF(AC75&gt;AC69,2,1),1))),IF(AC75&gt;=AC69,IF(AC75&gt;AC69,2,1),0))</f>
        <v>1</v>
      </c>
      <c r="AG76" s="79">
        <f>IF(AE76&gt;AE70,4,IF(AE76=AE70,2,0))</f>
        <v>0</v>
      </c>
      <c r="AH76" s="80">
        <v>6</v>
      </c>
      <c r="AI76" s="80">
        <f>SUM(AF76:AH76)</f>
        <v>7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45">
      <c r="A78" s="43" t="s">
        <v>81</v>
      </c>
      <c r="B78" s="43" t="s">
        <v>0</v>
      </c>
      <c r="C78" s="43" t="s">
        <v>6</v>
      </c>
      <c r="D78" s="43" t="s">
        <v>83</v>
      </c>
      <c r="E78" s="43" t="s">
        <v>84</v>
      </c>
      <c r="F78" s="43" t="s">
        <v>85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86</v>
      </c>
      <c r="S78" s="44" t="s">
        <v>87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4">
      <c r="A79" s="47">
        <v>6</v>
      </c>
      <c r="B79" s="48">
        <v>14</v>
      </c>
      <c r="C79" s="49">
        <v>28</v>
      </c>
      <c r="D79" s="48" t="str">
        <f>VLOOKUP($C79,[1]Summary!$A$4:$BL$39,4, FALSE)</f>
        <v>Scott Lightbody</v>
      </c>
      <c r="E79" s="49"/>
      <c r="F79" s="49"/>
      <c r="G79" s="48" t="s">
        <v>88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f>SUM(H79:P79)</f>
        <v>0</v>
      </c>
      <c r="S79" s="51" t="s">
        <v>89</v>
      </c>
      <c r="T79" s="52">
        <f t="shared" ref="T79:AB79" si="80">IF(H79&gt;=T81+H80+2,SUM(T81+H80+2),H79)</f>
        <v>0</v>
      </c>
      <c r="U79" s="52">
        <f t="shared" si="80"/>
        <v>0</v>
      </c>
      <c r="V79" s="52">
        <f t="shared" si="80"/>
        <v>0</v>
      </c>
      <c r="W79" s="52">
        <f t="shared" si="80"/>
        <v>0</v>
      </c>
      <c r="X79" s="52">
        <f t="shared" si="80"/>
        <v>0</v>
      </c>
      <c r="Y79" s="52">
        <f t="shared" si="80"/>
        <v>0</v>
      </c>
      <c r="Z79" s="52">
        <f t="shared" si="80"/>
        <v>0</v>
      </c>
      <c r="AA79" s="52">
        <f t="shared" si="80"/>
        <v>0</v>
      </c>
      <c r="AB79" s="52">
        <f t="shared" si="80"/>
        <v>0</v>
      </c>
      <c r="AC79" s="53">
        <f>SUM(T79:AB79)</f>
        <v>0</v>
      </c>
      <c r="AD79" s="41"/>
      <c r="AE79" s="2"/>
      <c r="AH79" s="2"/>
    </row>
    <row r="80" spans="1:35" x14ac:dyDescent="0.4">
      <c r="A80" s="54"/>
      <c r="B80" s="55"/>
      <c r="C80" s="55"/>
      <c r="D80" s="55"/>
      <c r="E80" s="55"/>
      <c r="F80" s="55"/>
      <c r="G80" s="43" t="s">
        <v>90</v>
      </c>
      <c r="H80" s="43">
        <f>IF($A$82="Front",VLOOKUP($Q80,'[1]Handicap Chart'!$B$4:$K$40,2),VLOOKUP($Q80,'[1]Handicap Chart'!$B$4:$K$40,10))</f>
        <v>1</v>
      </c>
      <c r="I80" s="43">
        <f>IF($A$82="Front",VLOOKUP($Q80,'[1]Handicap Chart'!$B$4:$K$40,4),VLOOKUP($Q80,'[1]Handicap Chart'!$B$4:$K$40,3))</f>
        <v>0</v>
      </c>
      <c r="J80" s="43">
        <f>IF($A$82="Front",VLOOKUP($Q80,'[1]Handicap Chart'!$B$4:$K$40,8),VLOOKUP($Q80,'[1]Handicap Chart'!$B$4:$K$40,6))</f>
        <v>0</v>
      </c>
      <c r="K80" s="43">
        <f>IF($A$82="Front",VLOOKUP($Q80,'[1]Handicap Chart'!$B$4:$K$40,9),VLOOKUP($Q80,'[1]Handicap Chart'!$B$4:$K$40,5))</f>
        <v>0</v>
      </c>
      <c r="L80" s="43">
        <f>IF($A$82="Front",VLOOKUP($Q80,'[1]Handicap Chart'!$B$4:$K$40,5),VLOOKUP($Q80,'[1]Handicap Chart'!$B$4:$K$40,4))</f>
        <v>0</v>
      </c>
      <c r="M80" s="43">
        <f>IF($A$82="Front",VLOOKUP($Q80,'[1]Handicap Chart'!$B$4:$K$40,10),VLOOKUP($Q80,'[1]Handicap Chart'!$B$4:$K$40,9))</f>
        <v>0</v>
      </c>
      <c r="N80" s="43">
        <f>IF($A$82="Front",VLOOKUP($Q80,'[1]Handicap Chart'!$B$4:$K$40,3),VLOOKUP($Q80,'[1]Handicap Chart'!$B$4:$K$40,7))</f>
        <v>0</v>
      </c>
      <c r="O80" s="43">
        <f>IF($A$82="Front",VLOOKUP($Q80,'[1]Handicap Chart'!$B$4:$K$40,7),VLOOKUP($Q80,'[1]Handicap Chart'!$B$4:$K$40,8))</f>
        <v>0</v>
      </c>
      <c r="P80" s="43">
        <f>IF($A$82="Front",VLOOKUP($Q80,'[1]Handicap Chart'!$B$4:$K$40,6),VLOOKUP($Q80,'[1]Handicap Chart'!$B$4:$K$40,2))</f>
        <v>0</v>
      </c>
      <c r="Q80" s="56">
        <f>VLOOKUP($C79,[1]Summary!$A$4:$BL$39,50, FALSE)</f>
        <v>1</v>
      </c>
      <c r="S80" s="57" t="s">
        <v>91</v>
      </c>
      <c r="T80" s="58">
        <f t="shared" ref="T80:AB80" si="81">IF(OR(EXACT($E79,"Y"),(EXACT($F79,"Y"))),"-",IF(H81-T81&gt;1,-1,IF(H81-T81=0,1,IF(H81-T81=-1,3,IF(H81-T81=-2,4,IF(H81-T81=-3,5,0))))))</f>
        <v>0</v>
      </c>
      <c r="U80" s="58">
        <f t="shared" si="81"/>
        <v>5</v>
      </c>
      <c r="V80" s="58">
        <f t="shared" si="81"/>
        <v>0</v>
      </c>
      <c r="W80" s="58">
        <f t="shared" si="81"/>
        <v>0</v>
      </c>
      <c r="X80" s="58">
        <f t="shared" si="81"/>
        <v>0</v>
      </c>
      <c r="Y80" s="58">
        <f t="shared" si="81"/>
        <v>5</v>
      </c>
      <c r="Z80" s="58">
        <f t="shared" si="81"/>
        <v>0</v>
      </c>
      <c r="AA80" s="58">
        <f t="shared" si="81"/>
        <v>0</v>
      </c>
      <c r="AB80" s="58">
        <f t="shared" si="81"/>
        <v>0</v>
      </c>
      <c r="AC80" s="59">
        <f>IF(EXACT(E79,"Y"),6,IF(EXACT(F79,"Y"),2,SUM(T80:AB80)))</f>
        <v>10</v>
      </c>
      <c r="AD80" s="41"/>
      <c r="AE80" s="2"/>
      <c r="AH80" s="2"/>
    </row>
    <row r="81" spans="1:35" ht="15" thickBot="1" x14ac:dyDescent="0.45">
      <c r="A81" s="54"/>
      <c r="B81" s="55"/>
      <c r="C81" s="55"/>
      <c r="D81" s="55"/>
      <c r="E81" s="55"/>
      <c r="F81" s="55"/>
      <c r="G81" s="60" t="s">
        <v>92</v>
      </c>
      <c r="H81" s="61">
        <f t="shared" ref="H81:P81" si="82">IF(OR(EXACT($E79,"Y"),(EXACT($F79,"Y"))),"-",H79-H80)</f>
        <v>-1</v>
      </c>
      <c r="I81" s="61">
        <f t="shared" si="82"/>
        <v>0</v>
      </c>
      <c r="J81" s="61">
        <f t="shared" si="82"/>
        <v>0</v>
      </c>
      <c r="K81" s="61">
        <f t="shared" si="82"/>
        <v>0</v>
      </c>
      <c r="L81" s="61">
        <f t="shared" si="82"/>
        <v>0</v>
      </c>
      <c r="M81" s="61">
        <f t="shared" si="82"/>
        <v>0</v>
      </c>
      <c r="N81" s="61">
        <f t="shared" si="82"/>
        <v>0</v>
      </c>
      <c r="O81" s="61">
        <f t="shared" si="82"/>
        <v>0</v>
      </c>
      <c r="P81" s="61">
        <f t="shared" si="82"/>
        <v>0</v>
      </c>
      <c r="Q81" s="62">
        <f>SUM(H81:P81)</f>
        <v>-1</v>
      </c>
      <c r="S81" s="63" t="str">
        <f>$A$12</f>
        <v>Front</v>
      </c>
      <c r="T81" s="43">
        <f t="shared" ref="T81:AB81" si="83">IF($A$12="Front",T$1,T$2)</f>
        <v>4</v>
      </c>
      <c r="U81" s="43">
        <f t="shared" si="83"/>
        <v>3</v>
      </c>
      <c r="V81" s="43">
        <f t="shared" si="83"/>
        <v>4</v>
      </c>
      <c r="W81" s="43">
        <f t="shared" si="83"/>
        <v>5</v>
      </c>
      <c r="X81" s="43">
        <f t="shared" si="83"/>
        <v>4</v>
      </c>
      <c r="Y81" s="43">
        <f t="shared" si="83"/>
        <v>3</v>
      </c>
      <c r="Z81" s="43">
        <f t="shared" si="83"/>
        <v>4</v>
      </c>
      <c r="AA81" s="43">
        <f t="shared" si="83"/>
        <v>5</v>
      </c>
      <c r="AB81" s="43">
        <f t="shared" si="83"/>
        <v>4</v>
      </c>
      <c r="AC81" s="56">
        <f>SUM(T81:AB81)</f>
        <v>36</v>
      </c>
      <c r="AD81" s="41"/>
      <c r="AE81" s="2"/>
      <c r="AH81" s="2"/>
    </row>
    <row r="82" spans="1:35" x14ac:dyDescent="0.4">
      <c r="A82" s="64" t="s">
        <v>73</v>
      </c>
      <c r="B82" s="58">
        <v>14</v>
      </c>
      <c r="C82" s="65">
        <v>27</v>
      </c>
      <c r="D82" s="48" t="str">
        <f>VLOOKUP($C82,[1]Summary!$A$4:$BL$39,4, FALSE)</f>
        <v>John Franks</v>
      </c>
      <c r="E82" s="65"/>
      <c r="F82" s="65"/>
      <c r="G82" s="58" t="s">
        <v>88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f>SUM(H82:P82)</f>
        <v>0</v>
      </c>
      <c r="S82" s="66" t="s">
        <v>89</v>
      </c>
      <c r="T82" s="52">
        <f>IF(H82&gt;=T84+H83+2,SUM(T84+H83+2),H82)</f>
        <v>0</v>
      </c>
      <c r="U82" s="52">
        <f t="shared" ref="U82:AB82" si="84">IF(I82&gt;=U84+I83+2,SUM(U84+I83+2),I82)</f>
        <v>0</v>
      </c>
      <c r="V82" s="52">
        <f t="shared" si="84"/>
        <v>0</v>
      </c>
      <c r="W82" s="52">
        <f t="shared" si="84"/>
        <v>0</v>
      </c>
      <c r="X82" s="52">
        <f t="shared" si="84"/>
        <v>0</v>
      </c>
      <c r="Y82" s="52">
        <f t="shared" si="84"/>
        <v>0</v>
      </c>
      <c r="Z82" s="52">
        <f t="shared" si="84"/>
        <v>0</v>
      </c>
      <c r="AA82" s="52">
        <f t="shared" si="84"/>
        <v>0</v>
      </c>
      <c r="AB82" s="52">
        <f t="shared" si="84"/>
        <v>0</v>
      </c>
      <c r="AC82" s="62">
        <f>SUM(T82:AB82)</f>
        <v>0</v>
      </c>
      <c r="AD82" s="41"/>
      <c r="AE82" s="2"/>
      <c r="AH82" s="2"/>
    </row>
    <row r="83" spans="1:35" ht="15" thickBot="1" x14ac:dyDescent="0.45">
      <c r="A83" s="54"/>
      <c r="B83" s="55"/>
      <c r="C83" s="55"/>
      <c r="D83" s="55"/>
      <c r="E83" s="55"/>
      <c r="F83" s="55"/>
      <c r="G83" s="43" t="s">
        <v>90</v>
      </c>
      <c r="H83" s="43">
        <f>IF($A$82="Front",VLOOKUP($Q83,'[1]Handicap Chart'!$B$4:$K$40,2),VLOOKUP($Q83,'[1]Handicap Chart'!$B$4:$K$40,10))</f>
        <v>2</v>
      </c>
      <c r="I83" s="82">
        <f>IF($A$82="Front",VLOOKUP($Q83,'[1]Handicap Chart'!$B$4:$K$40,4),VLOOKUP($Q83,'[1]Handicap Chart'!$B$4:$K$40,3))</f>
        <v>1</v>
      </c>
      <c r="J83" s="43">
        <f>IF($A$82="Front",VLOOKUP($Q83,'[1]Handicap Chart'!$B$4:$K$40,8),VLOOKUP($Q83,'[1]Handicap Chart'!$B$4:$K$40,6))</f>
        <v>1</v>
      </c>
      <c r="K83" s="43">
        <f>IF($A$82="Front",VLOOKUP($Q83,'[1]Handicap Chart'!$B$4:$K$40,9),VLOOKUP($Q83,'[1]Handicap Chart'!$B$4:$K$40,5))</f>
        <v>1</v>
      </c>
      <c r="L83" s="43">
        <f>IF($A$82="Front",VLOOKUP($Q83,'[1]Handicap Chart'!$B$4:$K$40,5),VLOOKUP($Q83,'[1]Handicap Chart'!$B$4:$K$40,4))</f>
        <v>1</v>
      </c>
      <c r="M83" s="43">
        <f>IF($A$82="Front",VLOOKUP($Q83,'[1]Handicap Chart'!$B$4:$K$40,10),VLOOKUP($Q83,'[1]Handicap Chart'!$B$4:$K$40,9))</f>
        <v>1</v>
      </c>
      <c r="N83" s="43">
        <f>IF($A$82="Front",VLOOKUP($Q83,'[1]Handicap Chart'!$B$4:$K$40,3),VLOOKUP($Q83,'[1]Handicap Chart'!$B$4:$K$40,7))</f>
        <v>2</v>
      </c>
      <c r="O83" s="43">
        <f>IF($A$82="Front",VLOOKUP($Q83,'[1]Handicap Chart'!$B$4:$K$40,7),VLOOKUP($Q83,'[1]Handicap Chart'!$B$4:$K$40,8))</f>
        <v>1</v>
      </c>
      <c r="P83" s="43">
        <f>IF($A$82="Front",VLOOKUP($Q83,'[1]Handicap Chart'!$B$4:$K$40,6),VLOOKUP($Q83,'[1]Handicap Chart'!$B$4:$K$40,2))</f>
        <v>1</v>
      </c>
      <c r="Q83" s="56">
        <f>VLOOKUP($C82,[1]Summary!$A$4:$BL$39,50, FALSE)</f>
        <v>11</v>
      </c>
      <c r="S83" s="57" t="s">
        <v>91</v>
      </c>
      <c r="T83" s="58">
        <f t="shared" ref="T83:AB83" si="85">IF(OR(EXACT($E82,"Y"),(EXACT($F82,"Y"))),"-",IF(H84-T84&gt;1,-1,IF(H84-T84=0,1,IF(H84-T84=-1,3,IF(H84-T84=-2,4,IF(H84-T84=-3,5,0))))))</f>
        <v>0</v>
      </c>
      <c r="U83" s="58">
        <f t="shared" si="85"/>
        <v>0</v>
      </c>
      <c r="V83" s="58">
        <f t="shared" si="85"/>
        <v>0</v>
      </c>
      <c r="W83" s="58">
        <f t="shared" si="85"/>
        <v>0</v>
      </c>
      <c r="X83" s="58">
        <f t="shared" si="85"/>
        <v>0</v>
      </c>
      <c r="Y83" s="58">
        <f t="shared" si="85"/>
        <v>0</v>
      </c>
      <c r="Z83" s="58">
        <f t="shared" si="85"/>
        <v>0</v>
      </c>
      <c r="AA83" s="58">
        <f t="shared" si="85"/>
        <v>0</v>
      </c>
      <c r="AB83" s="58">
        <f t="shared" si="85"/>
        <v>0</v>
      </c>
      <c r="AC83" s="59">
        <f>IF(EXACT(E82,"Y"),6,IF(EXACT(F82,"Y"),2,SUM(T83:AB83)))</f>
        <v>0</v>
      </c>
      <c r="AD83" s="41"/>
      <c r="AE83" s="2"/>
      <c r="AH83" s="2"/>
    </row>
    <row r="84" spans="1:35" ht="15" thickBot="1" x14ac:dyDescent="0.45">
      <c r="A84" s="54"/>
      <c r="B84" s="55"/>
      <c r="C84" s="55"/>
      <c r="D84" s="55"/>
      <c r="E84" s="55"/>
      <c r="F84" s="55"/>
      <c r="G84" s="60" t="s">
        <v>92</v>
      </c>
      <c r="H84" s="61">
        <f t="shared" ref="H84:P84" si="86">IF(OR(EXACT($E82,"Y"),(EXACT($F82,"Y"))),"-",H82-H83)</f>
        <v>-2</v>
      </c>
      <c r="I84" s="61">
        <f t="shared" si="86"/>
        <v>-1</v>
      </c>
      <c r="J84" s="61">
        <f t="shared" si="86"/>
        <v>-1</v>
      </c>
      <c r="K84" s="61">
        <f t="shared" si="86"/>
        <v>-1</v>
      </c>
      <c r="L84" s="61">
        <f t="shared" si="86"/>
        <v>-1</v>
      </c>
      <c r="M84" s="61">
        <f t="shared" si="86"/>
        <v>-1</v>
      </c>
      <c r="N84" s="61">
        <f t="shared" si="86"/>
        <v>-2</v>
      </c>
      <c r="O84" s="61">
        <f t="shared" si="86"/>
        <v>-1</v>
      </c>
      <c r="P84" s="61">
        <f t="shared" si="86"/>
        <v>-1</v>
      </c>
      <c r="Q84" s="62">
        <f>SUM(H84:P84)</f>
        <v>-11</v>
      </c>
      <c r="S84" s="63" t="str">
        <f>$A$12</f>
        <v>Front</v>
      </c>
      <c r="T84" s="43">
        <f t="shared" ref="T84:AB84" si="87">IF($A$12="Front",T$1,T$2)</f>
        <v>4</v>
      </c>
      <c r="U84" s="43">
        <f t="shared" si="87"/>
        <v>3</v>
      </c>
      <c r="V84" s="43">
        <f t="shared" si="87"/>
        <v>4</v>
      </c>
      <c r="W84" s="43">
        <f t="shared" si="87"/>
        <v>5</v>
      </c>
      <c r="X84" s="43">
        <f t="shared" si="87"/>
        <v>4</v>
      </c>
      <c r="Y84" s="43">
        <f t="shared" si="87"/>
        <v>3</v>
      </c>
      <c r="Z84" s="43">
        <f t="shared" si="87"/>
        <v>4</v>
      </c>
      <c r="AA84" s="43">
        <f t="shared" si="87"/>
        <v>5</v>
      </c>
      <c r="AB84" s="43">
        <f t="shared" si="87"/>
        <v>4</v>
      </c>
      <c r="AC84" s="56">
        <f>SUM(T84:AB84)</f>
        <v>36</v>
      </c>
      <c r="AD84" s="41">
        <f>B79</f>
        <v>14</v>
      </c>
      <c r="AE84" s="81">
        <f>AC80+AC83</f>
        <v>10</v>
      </c>
      <c r="AF84" s="67">
        <f>IF(AC80&gt;=AC86,IF(AC80&gt;AC86,IF(AC83&gt;=AC89,IF(AC83&gt;AC89,4,3),2),IF(AC83&gt;=AC89,IF(AC83&gt;AC89,3,2),IF(AC83&gt;=AC89,IF(AC83&gt;AC89,2,1),1))),IF(AC83&gt;=AC89,IF(AC83&gt;AC89,2,1),0))</f>
        <v>3</v>
      </c>
      <c r="AG84" s="67">
        <f>IF(AE84&gt;AE90,4,IF(AE84=AE90,2,0))</f>
        <v>4</v>
      </c>
      <c r="AH84" s="68">
        <v>2</v>
      </c>
      <c r="AI84" s="68">
        <f>SUM(AF84:AH84)</f>
        <v>9</v>
      </c>
    </row>
    <row r="85" spans="1:35" x14ac:dyDescent="0.4">
      <c r="A85" s="64" t="s">
        <v>93</v>
      </c>
      <c r="B85" s="69">
        <v>2</v>
      </c>
      <c r="C85" s="70">
        <v>3</v>
      </c>
      <c r="D85" s="69" t="str">
        <f>VLOOKUP($C85,[1]Summary!$A$4:$BL$39,4, FALSE)</f>
        <v>Steve Brosius</v>
      </c>
      <c r="E85" s="70"/>
      <c r="F85" s="70"/>
      <c r="G85" s="69" t="s">
        <v>88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f>SUM(H85:P85)</f>
        <v>0</v>
      </c>
      <c r="S85" s="66" t="s">
        <v>89</v>
      </c>
      <c r="T85" s="52">
        <f t="shared" ref="T85:AB85" si="88">IF(H85&gt;=T87+H86+2,SUM(T87+H86+2),H85)</f>
        <v>0</v>
      </c>
      <c r="U85" s="52">
        <f t="shared" si="88"/>
        <v>0</v>
      </c>
      <c r="V85" s="52">
        <f t="shared" si="88"/>
        <v>0</v>
      </c>
      <c r="W85" s="52">
        <f t="shared" si="88"/>
        <v>0</v>
      </c>
      <c r="X85" s="52">
        <f t="shared" si="88"/>
        <v>0</v>
      </c>
      <c r="Y85" s="52">
        <f t="shared" si="88"/>
        <v>0</v>
      </c>
      <c r="Z85" s="52">
        <f t="shared" si="88"/>
        <v>0</v>
      </c>
      <c r="AA85" s="52">
        <f t="shared" si="88"/>
        <v>0</v>
      </c>
      <c r="AB85" s="52">
        <f t="shared" si="88"/>
        <v>0</v>
      </c>
      <c r="AC85" s="62">
        <f>SUM(T85:AB85)</f>
        <v>0</v>
      </c>
      <c r="AD85" s="41"/>
      <c r="AE85" s="2"/>
      <c r="AH85" s="2"/>
    </row>
    <row r="86" spans="1:35" x14ac:dyDescent="0.4">
      <c r="A86" s="54"/>
      <c r="B86" s="55"/>
      <c r="C86" s="55"/>
      <c r="D86" s="55"/>
      <c r="E86" s="55"/>
      <c r="F86" s="55"/>
      <c r="G86" s="43" t="s">
        <v>90</v>
      </c>
      <c r="H86" s="43">
        <f>IF($A$82="Front",VLOOKUP($Q86,'[1]Handicap Chart'!$B$4:$K$40,2),VLOOKUP($Q86,'[1]Handicap Chart'!$B$4:$K$40,10))</f>
        <v>1</v>
      </c>
      <c r="I86" s="43">
        <f>IF($A$82="Front",VLOOKUP($Q86,'[1]Handicap Chart'!$B$4:$K$40,4),VLOOKUP($Q86,'[1]Handicap Chart'!$B$4:$K$40,3))</f>
        <v>1</v>
      </c>
      <c r="J86" s="43">
        <f>IF($A$82="Front",VLOOKUP($Q86,'[1]Handicap Chart'!$B$4:$K$40,8),VLOOKUP($Q86,'[1]Handicap Chart'!$B$4:$K$40,6))</f>
        <v>1</v>
      </c>
      <c r="K86" s="43">
        <f>IF($A$82="Front",VLOOKUP($Q86,'[1]Handicap Chart'!$B$4:$K$40,9),VLOOKUP($Q86,'[1]Handicap Chart'!$B$4:$K$40,5))</f>
        <v>1</v>
      </c>
      <c r="L86" s="43">
        <f>IF($A$82="Front",VLOOKUP($Q86,'[1]Handicap Chart'!$B$4:$K$40,5),VLOOKUP($Q86,'[1]Handicap Chart'!$B$4:$K$40,4))</f>
        <v>1</v>
      </c>
      <c r="M86" s="43">
        <f>IF($A$82="Front",VLOOKUP($Q86,'[1]Handicap Chart'!$B$4:$K$40,10),VLOOKUP($Q86,'[1]Handicap Chart'!$B$4:$K$40,9))</f>
        <v>1</v>
      </c>
      <c r="N86" s="43">
        <f>IF($A$82="Front",VLOOKUP($Q86,'[1]Handicap Chart'!$B$4:$K$40,3),VLOOKUP($Q86,'[1]Handicap Chart'!$B$4:$K$40,7))</f>
        <v>1</v>
      </c>
      <c r="O86" s="43">
        <f>IF($A$82="Front",VLOOKUP($Q86,'[1]Handicap Chart'!$B$4:$K$40,7),VLOOKUP($Q86,'[1]Handicap Chart'!$B$4:$K$40,8))</f>
        <v>1</v>
      </c>
      <c r="P86" s="43">
        <f>IF($A$82="Front",VLOOKUP($Q86,'[1]Handicap Chart'!$B$4:$K$40,6),VLOOKUP($Q86,'[1]Handicap Chart'!$B$4:$K$40,2))</f>
        <v>1</v>
      </c>
      <c r="Q86" s="56">
        <f>VLOOKUP($C85,[1]Summary!$A$4:$BL$39,50, FALSE)</f>
        <v>9</v>
      </c>
      <c r="S86" s="72" t="s">
        <v>91</v>
      </c>
      <c r="T86" s="72">
        <f>IF(OR(EXACT($E85,"Y"),(EXACT($F85,"Y"))),"-",IF(H87-T87&gt;1,-1,IF(H87-T87=0,1,IF(H87-T87=-1,3,IF(H87-T87=-2,4,IF(H87-T87=-3,5,0))))))</f>
        <v>0</v>
      </c>
      <c r="U86" s="72">
        <f t="shared" ref="U86:AB86" si="89">IF(OR(EXACT($E85,"Y"),(EXACT($F85,"Y"))),"-",IF(I87-U87&gt;1,-1,IF(I87-U87=0,1,IF(I87-U87=-1,3,IF(I87-U87=-2,4,IF(I87-U87=-3,5,0))))))</f>
        <v>0</v>
      </c>
      <c r="V86" s="72">
        <f t="shared" si="89"/>
        <v>0</v>
      </c>
      <c r="W86" s="72">
        <f t="shared" si="89"/>
        <v>0</v>
      </c>
      <c r="X86" s="72">
        <f t="shared" si="89"/>
        <v>0</v>
      </c>
      <c r="Y86" s="72">
        <f t="shared" si="89"/>
        <v>0</v>
      </c>
      <c r="Z86" s="72">
        <f t="shared" si="89"/>
        <v>0</v>
      </c>
      <c r="AA86" s="72">
        <f t="shared" si="89"/>
        <v>0</v>
      </c>
      <c r="AB86" s="72">
        <f t="shared" si="89"/>
        <v>0</v>
      </c>
      <c r="AC86" s="71">
        <f>IF(EXACT(E85,"Y"),6,IF(EXACT(F85,"Y"),2,SUM(T86:AB86)))</f>
        <v>0</v>
      </c>
      <c r="AD86" s="41"/>
      <c r="AE86" s="2"/>
      <c r="AH86" s="2"/>
    </row>
    <row r="87" spans="1:35" x14ac:dyDescent="0.4">
      <c r="A87" s="54"/>
      <c r="B87" s="55"/>
      <c r="C87" s="55"/>
      <c r="D87" s="55"/>
      <c r="E87" s="55"/>
      <c r="F87" s="55"/>
      <c r="G87" s="60" t="s">
        <v>92</v>
      </c>
      <c r="H87" s="61">
        <f t="shared" ref="H87:P87" si="90">IF(OR(EXACT($E85,"Y"),(EXACT($F85,"Y"))),"-",H85-H86)</f>
        <v>-1</v>
      </c>
      <c r="I87" s="61">
        <f t="shared" si="90"/>
        <v>-1</v>
      </c>
      <c r="J87" s="61">
        <f t="shared" si="90"/>
        <v>-1</v>
      </c>
      <c r="K87" s="61">
        <f t="shared" si="90"/>
        <v>-1</v>
      </c>
      <c r="L87" s="61">
        <f t="shared" si="90"/>
        <v>-1</v>
      </c>
      <c r="M87" s="61">
        <f t="shared" si="90"/>
        <v>-1</v>
      </c>
      <c r="N87" s="61">
        <f t="shared" si="90"/>
        <v>-1</v>
      </c>
      <c r="O87" s="61">
        <f t="shared" si="90"/>
        <v>-1</v>
      </c>
      <c r="P87" s="61">
        <f t="shared" si="90"/>
        <v>-1</v>
      </c>
      <c r="Q87" s="62">
        <f>SUM(H87:P87)</f>
        <v>-9</v>
      </c>
      <c r="S87" s="63" t="str">
        <f>$A$12</f>
        <v>Front</v>
      </c>
      <c r="T87" s="43">
        <f t="shared" ref="T87:AB87" si="91">IF($A$12="Front",T$1,T$2)</f>
        <v>4</v>
      </c>
      <c r="U87" s="43">
        <f t="shared" si="91"/>
        <v>3</v>
      </c>
      <c r="V87" s="43">
        <f t="shared" si="91"/>
        <v>4</v>
      </c>
      <c r="W87" s="43">
        <f t="shared" si="91"/>
        <v>5</v>
      </c>
      <c r="X87" s="43">
        <f t="shared" si="91"/>
        <v>4</v>
      </c>
      <c r="Y87" s="43">
        <f t="shared" si="91"/>
        <v>3</v>
      </c>
      <c r="Z87" s="43">
        <f t="shared" si="91"/>
        <v>4</v>
      </c>
      <c r="AA87" s="43">
        <f t="shared" si="91"/>
        <v>5</v>
      </c>
      <c r="AB87" s="43">
        <f t="shared" si="91"/>
        <v>4</v>
      </c>
      <c r="AC87" s="56">
        <f>SUM(T87:AB87)</f>
        <v>36</v>
      </c>
      <c r="AD87" s="41"/>
      <c r="AE87" s="2"/>
      <c r="AH87" s="2"/>
    </row>
    <row r="88" spans="1:35" x14ac:dyDescent="0.4">
      <c r="A88" s="64" t="s">
        <v>99</v>
      </c>
      <c r="B88" s="69">
        <v>2</v>
      </c>
      <c r="C88" s="70">
        <v>4</v>
      </c>
      <c r="D88" s="69" t="str">
        <f>VLOOKUP($C88,[1]Summary!$A$4:$BL$39,4, FALSE)</f>
        <v>Mike Albano</v>
      </c>
      <c r="E88" s="70"/>
      <c r="F88" s="70"/>
      <c r="G88" s="69" t="s">
        <v>88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f>SUM(H88:P88)</f>
        <v>0</v>
      </c>
      <c r="S88" s="66" t="s">
        <v>89</v>
      </c>
      <c r="T88" s="52">
        <f t="shared" ref="T88:AB88" si="92">IF(H88&gt;=T90+H89+2,SUM(T90+H89+2),H88)</f>
        <v>0</v>
      </c>
      <c r="U88" s="52">
        <f t="shared" si="92"/>
        <v>0</v>
      </c>
      <c r="V88" s="52">
        <f t="shared" si="92"/>
        <v>0</v>
      </c>
      <c r="W88" s="52">
        <f t="shared" si="92"/>
        <v>0</v>
      </c>
      <c r="X88" s="52">
        <f t="shared" si="92"/>
        <v>0</v>
      </c>
      <c r="Y88" s="52">
        <f t="shared" si="92"/>
        <v>0</v>
      </c>
      <c r="Z88" s="52">
        <f t="shared" si="92"/>
        <v>0</v>
      </c>
      <c r="AA88" s="52">
        <f t="shared" si="92"/>
        <v>0</v>
      </c>
      <c r="AB88" s="52">
        <f t="shared" si="92"/>
        <v>0</v>
      </c>
      <c r="AC88" s="62">
        <f>SUM(T88:AB88)</f>
        <v>0</v>
      </c>
      <c r="AD88" s="41"/>
      <c r="AE88" s="2"/>
      <c r="AH88" s="2"/>
    </row>
    <row r="89" spans="1:35" ht="15" thickBot="1" x14ac:dyDescent="0.45">
      <c r="A89" s="54"/>
      <c r="B89" s="55"/>
      <c r="C89" s="55"/>
      <c r="D89" s="55"/>
      <c r="E89" s="55"/>
      <c r="F89" s="55"/>
      <c r="G89" s="43" t="s">
        <v>90</v>
      </c>
      <c r="H89" s="43">
        <f>IF($A$82="Front",VLOOKUP($Q89,'[1]Handicap Chart'!$B$4:$K$40,2),VLOOKUP($Q89,'[1]Handicap Chart'!$B$4:$K$40,10))</f>
        <v>2</v>
      </c>
      <c r="I89" s="43">
        <f>IF($A$82="Front",VLOOKUP($Q89,'[1]Handicap Chart'!$B$4:$K$40,4),VLOOKUP($Q89,'[1]Handicap Chart'!$B$4:$K$40,3))</f>
        <v>1</v>
      </c>
      <c r="J89" s="43">
        <f>IF($A$82="Front",VLOOKUP($Q89,'[1]Handicap Chart'!$B$4:$K$40,8),VLOOKUP($Q89,'[1]Handicap Chart'!$B$4:$K$40,6))</f>
        <v>1</v>
      </c>
      <c r="K89" s="43">
        <f>IF($A$82="Front",VLOOKUP($Q89,'[1]Handicap Chart'!$B$4:$K$40,9),VLOOKUP($Q89,'[1]Handicap Chart'!$B$4:$K$40,5))</f>
        <v>1</v>
      </c>
      <c r="L89" s="43">
        <f>IF($A$82="Front",VLOOKUP($Q89,'[1]Handicap Chart'!$B$4:$K$40,5),VLOOKUP($Q89,'[1]Handicap Chart'!$B$4:$K$40,4))</f>
        <v>1</v>
      </c>
      <c r="M89" s="43">
        <f>IF($A$82="Front",VLOOKUP($Q89,'[1]Handicap Chart'!$B$4:$K$40,10),VLOOKUP($Q89,'[1]Handicap Chart'!$B$4:$K$40,9))</f>
        <v>1</v>
      </c>
      <c r="N89" s="43">
        <f>IF($A$82="Front",VLOOKUP($Q89,'[1]Handicap Chart'!$B$4:$K$40,3),VLOOKUP($Q89,'[1]Handicap Chart'!$B$4:$K$40,7))</f>
        <v>1</v>
      </c>
      <c r="O89" s="43">
        <f>IF($A$82="Front",VLOOKUP($Q89,'[1]Handicap Chart'!$B$4:$K$40,7),VLOOKUP($Q89,'[1]Handicap Chart'!$B$4:$K$40,8))</f>
        <v>1</v>
      </c>
      <c r="P89" s="43">
        <f>IF($A$82="Front",VLOOKUP($Q89,'[1]Handicap Chart'!$B$4:$K$40,6),VLOOKUP($Q89,'[1]Handicap Chart'!$B$4:$K$40,2))</f>
        <v>1</v>
      </c>
      <c r="Q89" s="56">
        <f>VLOOKUP($C88,[1]Summary!$A$4:$BL$39,50, FALSE)</f>
        <v>10</v>
      </c>
      <c r="S89" s="72" t="s">
        <v>91</v>
      </c>
      <c r="T89" s="72">
        <f>IF(OR(EXACT($E88,"Y"),(EXACT($F88,"Y"))),"-",IF(H90-T90&gt;1,-1,IF(H90-T90=0,1,IF(H90-T90=-1,3,IF(H90-T90=-2,4,IF(H90-T90=-3,5,0))))))</f>
        <v>0</v>
      </c>
      <c r="U89" s="72">
        <f t="shared" ref="U89:AB89" si="93">IF(OR(EXACT($E88,"Y"),(EXACT($F88,"Y"))),"-",IF(I90-U90&gt;1,-1,IF(I90-U90=0,1,IF(I90-U90=-1,3,IF(I90-U90=-2,4,IF(I90-U90=-3,5,0))))))</f>
        <v>0</v>
      </c>
      <c r="V89" s="72">
        <f t="shared" si="93"/>
        <v>0</v>
      </c>
      <c r="W89" s="72">
        <f t="shared" si="93"/>
        <v>0</v>
      </c>
      <c r="X89" s="72">
        <f t="shared" si="93"/>
        <v>0</v>
      </c>
      <c r="Y89" s="72">
        <f t="shared" si="93"/>
        <v>0</v>
      </c>
      <c r="Z89" s="72">
        <f t="shared" si="93"/>
        <v>0</v>
      </c>
      <c r="AA89" s="72">
        <f t="shared" si="93"/>
        <v>0</v>
      </c>
      <c r="AB89" s="72">
        <f t="shared" si="93"/>
        <v>0</v>
      </c>
      <c r="AC89" s="71">
        <f>IF(EXACT(E88,"Y"),6,IF(EXACT(F88,"Y"),2,SUM(T89:AB89)))</f>
        <v>0</v>
      </c>
      <c r="AD89" s="41"/>
      <c r="AE89" s="2"/>
      <c r="AH89" s="2"/>
    </row>
    <row r="90" spans="1:35" ht="15" thickBot="1" x14ac:dyDescent="0.45">
      <c r="A90" s="73"/>
      <c r="B90" s="74"/>
      <c r="C90" s="74"/>
      <c r="D90" s="74"/>
      <c r="E90" s="74"/>
      <c r="F90" s="74"/>
      <c r="G90" s="75" t="s">
        <v>92</v>
      </c>
      <c r="H90" s="61">
        <f t="shared" ref="H90:P90" si="94">IF(OR(EXACT($E88,"Y"),(EXACT($F88,"Y"))),"-",H88-H89)</f>
        <v>-2</v>
      </c>
      <c r="I90" s="61">
        <f t="shared" si="94"/>
        <v>-1</v>
      </c>
      <c r="J90" s="61">
        <f t="shared" si="94"/>
        <v>-1</v>
      </c>
      <c r="K90" s="61">
        <f t="shared" si="94"/>
        <v>-1</v>
      </c>
      <c r="L90" s="61">
        <f t="shared" si="94"/>
        <v>-1</v>
      </c>
      <c r="M90" s="61">
        <f t="shared" si="94"/>
        <v>-1</v>
      </c>
      <c r="N90" s="61">
        <f t="shared" si="94"/>
        <v>-1</v>
      </c>
      <c r="O90" s="61">
        <f t="shared" si="94"/>
        <v>-1</v>
      </c>
      <c r="P90" s="61">
        <f t="shared" si="94"/>
        <v>-1</v>
      </c>
      <c r="Q90" s="76">
        <f>SUM(H90:P90)</f>
        <v>-10</v>
      </c>
      <c r="S90" s="28" t="str">
        <f>$A$12</f>
        <v>Front</v>
      </c>
      <c r="T90" s="77">
        <f t="shared" ref="T90:AB90" si="95">IF($A$12="Front",T$1,T$2)</f>
        <v>4</v>
      </c>
      <c r="U90" s="77">
        <f t="shared" si="95"/>
        <v>3</v>
      </c>
      <c r="V90" s="77">
        <f t="shared" si="95"/>
        <v>4</v>
      </c>
      <c r="W90" s="77">
        <f t="shared" si="95"/>
        <v>5</v>
      </c>
      <c r="X90" s="77">
        <f t="shared" si="95"/>
        <v>4</v>
      </c>
      <c r="Y90" s="77">
        <f t="shared" si="95"/>
        <v>3</v>
      </c>
      <c r="Z90" s="77">
        <f t="shared" si="95"/>
        <v>4</v>
      </c>
      <c r="AA90" s="77">
        <f t="shared" si="95"/>
        <v>5</v>
      </c>
      <c r="AB90" s="77">
        <f t="shared" si="95"/>
        <v>4</v>
      </c>
      <c r="AC90" s="78">
        <f>SUM(T90:AB90)</f>
        <v>36</v>
      </c>
      <c r="AD90" s="41">
        <f>B85</f>
        <v>2</v>
      </c>
      <c r="AE90" s="79">
        <f>AC86+AC89</f>
        <v>0</v>
      </c>
      <c r="AF90" s="79">
        <f>IF(AC86&gt;=AC80,IF(AC86&gt;AC80,IF(AC89&gt;=AC83,IF(AC89&gt;AC83,4,3),2),IF(AC89&gt;=AC83,IF(AC89&gt;AC83,3,2),IF(AC89&gt;=AC83,IF(AC89&gt;AC83,2,1),1))),IF(AC89&gt;=AC83,IF(AC89&gt;AC83,2,1),0))</f>
        <v>1</v>
      </c>
      <c r="AG90" s="79">
        <f>IF(AE90&gt;AE84,4,IF(AE90=AE84,2,0))</f>
        <v>0</v>
      </c>
      <c r="AH90" s="80">
        <v>0</v>
      </c>
      <c r="AI90" s="80">
        <f>SUM(AF90:AH90)</f>
        <v>1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45">
      <c r="A92" s="43" t="s">
        <v>81</v>
      </c>
      <c r="B92" s="43" t="s">
        <v>0</v>
      </c>
      <c r="C92" s="43" t="s">
        <v>6</v>
      </c>
      <c r="D92" s="43" t="s">
        <v>83</v>
      </c>
      <c r="E92" s="43" t="s">
        <v>84</v>
      </c>
      <c r="F92" s="43" t="s">
        <v>85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86</v>
      </c>
      <c r="S92" s="44" t="s">
        <v>87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4">
      <c r="A93" s="47">
        <v>2</v>
      </c>
      <c r="B93" s="48">
        <v>17</v>
      </c>
      <c r="C93" s="49">
        <v>34</v>
      </c>
      <c r="D93" s="48" t="str">
        <f>VLOOKUP($C93,[1]Summary!$A$4:$BL$39,4, FALSE)</f>
        <v>Aret Minasian</v>
      </c>
      <c r="E93" s="49"/>
      <c r="F93" s="49"/>
      <c r="G93" s="48" t="s">
        <v>88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f>SUM(H93:P93)</f>
        <v>0</v>
      </c>
      <c r="S93" s="51" t="s">
        <v>89</v>
      </c>
      <c r="T93" s="52">
        <f t="shared" ref="T93:AB93" si="96">IF(H93&gt;=T95+H94+2,SUM(T95+H94+2),H93)</f>
        <v>0</v>
      </c>
      <c r="U93" s="52">
        <f t="shared" si="96"/>
        <v>0</v>
      </c>
      <c r="V93" s="52">
        <f t="shared" si="96"/>
        <v>0</v>
      </c>
      <c r="W93" s="52">
        <f t="shared" si="96"/>
        <v>0</v>
      </c>
      <c r="X93" s="52">
        <f t="shared" si="96"/>
        <v>0</v>
      </c>
      <c r="Y93" s="52">
        <f t="shared" si="96"/>
        <v>0</v>
      </c>
      <c r="Z93" s="52">
        <f t="shared" si="96"/>
        <v>0</v>
      </c>
      <c r="AA93" s="52">
        <f t="shared" si="96"/>
        <v>0</v>
      </c>
      <c r="AB93" s="52">
        <f t="shared" si="96"/>
        <v>0</v>
      </c>
      <c r="AC93" s="53">
        <f>SUM(T93:AB93)</f>
        <v>0</v>
      </c>
      <c r="AD93" s="41"/>
      <c r="AE93" s="2"/>
      <c r="AH93" s="2"/>
    </row>
    <row r="94" spans="1:35" x14ac:dyDescent="0.4">
      <c r="A94" s="54"/>
      <c r="B94" s="55"/>
      <c r="C94" s="55"/>
      <c r="D94" s="55"/>
      <c r="E94" s="55"/>
      <c r="F94" s="55"/>
      <c r="G94" s="43" t="s">
        <v>90</v>
      </c>
      <c r="H94" s="43">
        <f>IF($A$96="Front",VLOOKUP($Q94,'[1]Handicap Chart'!$B$4:$K$40,2),VLOOKUP($Q94,'[1]Handicap Chart'!$B$4:$K$40,10))</f>
        <v>2</v>
      </c>
      <c r="I94" s="43">
        <f>IF($A$96="Front",VLOOKUP($Q94,'[1]Handicap Chart'!$B$4:$K$40,4),VLOOKUP($Q94,'[1]Handicap Chart'!$B$4:$K$40,3))</f>
        <v>1</v>
      </c>
      <c r="J94" s="43">
        <f>IF($A$96="Front",VLOOKUP($Q94,'[1]Handicap Chart'!$B$4:$K$40,8),VLOOKUP($Q94,'[1]Handicap Chart'!$B$4:$K$40,6))</f>
        <v>1</v>
      </c>
      <c r="K94" s="43">
        <f>IF($A$96="Front",VLOOKUP($Q94,'[1]Handicap Chart'!$B$4:$K$40,9),VLOOKUP($Q94,'[1]Handicap Chart'!$B$4:$K$40,5))</f>
        <v>1</v>
      </c>
      <c r="L94" s="43">
        <f>IF($A$96="Front",VLOOKUP($Q94,'[1]Handicap Chart'!$B$4:$K$40,5),VLOOKUP($Q94,'[1]Handicap Chart'!$B$4:$K$40,4))</f>
        <v>1</v>
      </c>
      <c r="M94" s="43">
        <f>IF($A$96="Front",VLOOKUP($Q94,'[1]Handicap Chart'!$B$4:$K$40,10),VLOOKUP($Q94,'[1]Handicap Chart'!$B$4:$K$40,9))</f>
        <v>1</v>
      </c>
      <c r="N94" s="43">
        <f>IF($A$96="Front",VLOOKUP($Q94,'[1]Handicap Chart'!$B$4:$K$40,3),VLOOKUP($Q94,'[1]Handicap Chart'!$B$4:$K$40,7))</f>
        <v>1</v>
      </c>
      <c r="O94" s="43">
        <f>IF($A$96="Front",VLOOKUP($Q94,'[1]Handicap Chart'!$B$4:$K$40,7),VLOOKUP($Q94,'[1]Handicap Chart'!$B$4:$K$40,8))</f>
        <v>1</v>
      </c>
      <c r="P94" s="43">
        <f>IF($A$96="Front",VLOOKUP($Q94,'[1]Handicap Chart'!$B$4:$K$40,6),VLOOKUP($Q94,'[1]Handicap Chart'!$B$4:$K$40,2))</f>
        <v>1</v>
      </c>
      <c r="Q94" s="56">
        <f>VLOOKUP($C93,[1]Summary!$A$4:$BL$39,50, FALSE)</f>
        <v>10</v>
      </c>
      <c r="S94" s="57" t="s">
        <v>91</v>
      </c>
      <c r="T94" s="58">
        <f t="shared" ref="T94:AB94" si="97">IF(OR(EXACT($E93,"Y"),(EXACT($F93,"Y"))),"-",IF(H95-T95&gt;1,-1,IF(H95-T95=0,1,IF(H95-T95=-1,3,IF(H95-T95=-2,4,IF(H95-T95=-3,5,0))))))</f>
        <v>0</v>
      </c>
      <c r="U94" s="58">
        <f t="shared" si="97"/>
        <v>0</v>
      </c>
      <c r="V94" s="58">
        <f t="shared" si="97"/>
        <v>0</v>
      </c>
      <c r="W94" s="58">
        <f t="shared" si="97"/>
        <v>0</v>
      </c>
      <c r="X94" s="58">
        <f t="shared" si="97"/>
        <v>0</v>
      </c>
      <c r="Y94" s="58">
        <f t="shared" si="97"/>
        <v>0</v>
      </c>
      <c r="Z94" s="58">
        <f t="shared" si="97"/>
        <v>0</v>
      </c>
      <c r="AA94" s="58">
        <f t="shared" si="97"/>
        <v>0</v>
      </c>
      <c r="AB94" s="58">
        <f t="shared" si="97"/>
        <v>0</v>
      </c>
      <c r="AC94" s="59">
        <f>IF(EXACT(E93,"Y"),6,IF(EXACT(F93,"Y"),2,SUM(T94:AB94)))</f>
        <v>0</v>
      </c>
      <c r="AD94" s="41"/>
      <c r="AE94" s="2"/>
      <c r="AH94" s="2"/>
    </row>
    <row r="95" spans="1:35" ht="15" thickBot="1" x14ac:dyDescent="0.45">
      <c r="A95" s="54"/>
      <c r="B95" s="55"/>
      <c r="C95" s="55"/>
      <c r="D95" s="55"/>
      <c r="E95" s="55"/>
      <c r="F95" s="55"/>
      <c r="G95" s="60" t="s">
        <v>92</v>
      </c>
      <c r="H95" s="61">
        <f t="shared" ref="H95:P95" si="98">IF(OR(EXACT($E93,"Y"),(EXACT($F93,"Y"))),"-",H93-H94)</f>
        <v>-2</v>
      </c>
      <c r="I95" s="61">
        <f t="shared" si="98"/>
        <v>-1</v>
      </c>
      <c r="J95" s="61">
        <f t="shared" si="98"/>
        <v>-1</v>
      </c>
      <c r="K95" s="61">
        <f t="shared" si="98"/>
        <v>-1</v>
      </c>
      <c r="L95" s="61">
        <f t="shared" si="98"/>
        <v>-1</v>
      </c>
      <c r="M95" s="61">
        <f t="shared" si="98"/>
        <v>-1</v>
      </c>
      <c r="N95" s="61">
        <f t="shared" si="98"/>
        <v>-1</v>
      </c>
      <c r="O95" s="61">
        <f t="shared" si="98"/>
        <v>-1</v>
      </c>
      <c r="P95" s="61">
        <f t="shared" si="98"/>
        <v>-1</v>
      </c>
      <c r="Q95" s="62">
        <f>SUM(H95:P95)</f>
        <v>-10</v>
      </c>
      <c r="S95" s="63" t="str">
        <f>$A$12</f>
        <v>Front</v>
      </c>
      <c r="T95" s="43">
        <f t="shared" ref="T95:AB95" si="99">IF($A$12="Front",T$1,T$2)</f>
        <v>4</v>
      </c>
      <c r="U95" s="43">
        <f t="shared" si="99"/>
        <v>3</v>
      </c>
      <c r="V95" s="43">
        <f t="shared" si="99"/>
        <v>4</v>
      </c>
      <c r="W95" s="43">
        <f t="shared" si="99"/>
        <v>5</v>
      </c>
      <c r="X95" s="43">
        <f t="shared" si="99"/>
        <v>4</v>
      </c>
      <c r="Y95" s="43">
        <f t="shared" si="99"/>
        <v>3</v>
      </c>
      <c r="Z95" s="43">
        <f t="shared" si="99"/>
        <v>4</v>
      </c>
      <c r="AA95" s="43">
        <f t="shared" si="99"/>
        <v>5</v>
      </c>
      <c r="AB95" s="43">
        <f t="shared" si="99"/>
        <v>4</v>
      </c>
      <c r="AC95" s="56">
        <f>SUM(T95:AB95)</f>
        <v>36</v>
      </c>
      <c r="AD95" s="41"/>
      <c r="AE95" s="2"/>
      <c r="AH95" s="2"/>
    </row>
    <row r="96" spans="1:35" x14ac:dyDescent="0.4">
      <c r="A96" s="64" t="s">
        <v>73</v>
      </c>
      <c r="B96" s="58">
        <v>17</v>
      </c>
      <c r="C96" s="65">
        <v>33</v>
      </c>
      <c r="D96" s="48" t="str">
        <f>VLOOKUP($C96,[1]Summary!$A$4:$BL$39,4, FALSE)</f>
        <v>Russ Posey</v>
      </c>
      <c r="E96" s="65"/>
      <c r="F96" s="65"/>
      <c r="G96" s="58" t="s">
        <v>88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f>SUM(H96:P96)</f>
        <v>0</v>
      </c>
      <c r="S96" s="66" t="s">
        <v>89</v>
      </c>
      <c r="T96" s="52">
        <f>IF(H96&gt;=T98+H97+2,SUM(T98+H97+2),H96)</f>
        <v>0</v>
      </c>
      <c r="U96" s="52">
        <f t="shared" ref="U96:AB96" si="100">IF(I96&gt;=U98+I97+2,SUM(U98+I97+2),I96)</f>
        <v>0</v>
      </c>
      <c r="V96" s="52">
        <f t="shared" si="100"/>
        <v>0</v>
      </c>
      <c r="W96" s="52">
        <f t="shared" si="100"/>
        <v>0</v>
      </c>
      <c r="X96" s="52">
        <f t="shared" si="100"/>
        <v>0</v>
      </c>
      <c r="Y96" s="52">
        <f t="shared" si="100"/>
        <v>0</v>
      </c>
      <c r="Z96" s="52">
        <f t="shared" si="100"/>
        <v>0</v>
      </c>
      <c r="AA96" s="52">
        <f t="shared" si="100"/>
        <v>0</v>
      </c>
      <c r="AB96" s="52">
        <f t="shared" si="100"/>
        <v>0</v>
      </c>
      <c r="AC96" s="62">
        <f>SUM(T96:AB96)</f>
        <v>0</v>
      </c>
      <c r="AD96" s="41"/>
      <c r="AE96" s="2"/>
      <c r="AH96" s="2"/>
    </row>
    <row r="97" spans="1:35" ht="15" thickBot="1" x14ac:dyDescent="0.45">
      <c r="A97" s="54"/>
      <c r="B97" s="55"/>
      <c r="C97" s="55"/>
      <c r="D97" s="55"/>
      <c r="E97" s="55"/>
      <c r="F97" s="55"/>
      <c r="G97" s="43" t="s">
        <v>90</v>
      </c>
      <c r="H97" s="43">
        <f>IF($A$96="Front",VLOOKUP($Q97,'[1]Handicap Chart'!$B$4:$K$40,2),VLOOKUP($Q97,'[1]Handicap Chart'!$B$4:$K$40,10))</f>
        <v>2</v>
      </c>
      <c r="I97" s="43">
        <f>IF($A$96="Front",VLOOKUP($Q97,'[1]Handicap Chart'!$B$4:$K$40,4),VLOOKUP($Q97,'[1]Handicap Chart'!$B$4:$K$40,3))</f>
        <v>1</v>
      </c>
      <c r="J97" s="43">
        <f>IF($A$96="Front",VLOOKUP($Q97,'[1]Handicap Chart'!$B$4:$K$40,8),VLOOKUP($Q97,'[1]Handicap Chart'!$B$4:$K$40,6))</f>
        <v>1</v>
      </c>
      <c r="K97" s="43">
        <f>IF($A$96="Front",VLOOKUP($Q97,'[1]Handicap Chart'!$B$4:$K$40,9),VLOOKUP($Q97,'[1]Handicap Chart'!$B$4:$K$40,5))</f>
        <v>1</v>
      </c>
      <c r="L97" s="43">
        <f>IF($A$96="Front",VLOOKUP($Q97,'[1]Handicap Chart'!$B$4:$K$40,5),VLOOKUP($Q97,'[1]Handicap Chart'!$B$4:$K$40,4))</f>
        <v>1</v>
      </c>
      <c r="M97" s="43">
        <f>IF($A$96="Front",VLOOKUP($Q97,'[1]Handicap Chart'!$B$4:$K$40,10),VLOOKUP($Q97,'[1]Handicap Chart'!$B$4:$K$40,9))</f>
        <v>1</v>
      </c>
      <c r="N97" s="43">
        <f>IF($A$96="Front",VLOOKUP($Q97,'[1]Handicap Chart'!$B$4:$K$40,3),VLOOKUP($Q97,'[1]Handicap Chart'!$B$4:$K$40,7))</f>
        <v>2</v>
      </c>
      <c r="O97" s="43">
        <f>IF($A$96="Front",VLOOKUP($Q97,'[1]Handicap Chart'!$B$4:$K$40,7),VLOOKUP($Q97,'[1]Handicap Chart'!$B$4:$K$40,8))</f>
        <v>1</v>
      </c>
      <c r="P97" s="43">
        <f>IF($A$96="Front",VLOOKUP($Q97,'[1]Handicap Chart'!$B$4:$K$40,6),VLOOKUP($Q97,'[1]Handicap Chart'!$B$4:$K$40,2))</f>
        <v>1</v>
      </c>
      <c r="Q97" s="56">
        <f>VLOOKUP($C96,[1]Summary!$A$4:$BL$39,50, FALSE)</f>
        <v>11</v>
      </c>
      <c r="S97" s="57" t="s">
        <v>91</v>
      </c>
      <c r="T97" s="58">
        <f t="shared" ref="T97:AB97" si="101">IF(OR(EXACT($E96,"Y"),(EXACT($F96,"Y"))),"-",IF(H98-T98&gt;1,-1,IF(H98-T98=0,1,IF(H98-T98=-1,3,IF(H98-T98=-2,4,IF(H98-T98=-3,5,0))))))</f>
        <v>0</v>
      </c>
      <c r="U97" s="58">
        <f t="shared" si="101"/>
        <v>0</v>
      </c>
      <c r="V97" s="58">
        <f t="shared" si="101"/>
        <v>0</v>
      </c>
      <c r="W97" s="58">
        <f t="shared" si="101"/>
        <v>0</v>
      </c>
      <c r="X97" s="58">
        <f t="shared" si="101"/>
        <v>0</v>
      </c>
      <c r="Y97" s="58">
        <f t="shared" si="101"/>
        <v>0</v>
      </c>
      <c r="Z97" s="58">
        <f t="shared" si="101"/>
        <v>0</v>
      </c>
      <c r="AA97" s="58">
        <f t="shared" si="101"/>
        <v>0</v>
      </c>
      <c r="AB97" s="58">
        <f t="shared" si="101"/>
        <v>0</v>
      </c>
      <c r="AC97" s="59">
        <f>IF(EXACT(E96,"Y"),6,IF(EXACT(F96,"Y"),2,SUM(T97:AB97)))</f>
        <v>0</v>
      </c>
      <c r="AD97" s="41"/>
      <c r="AE97" s="2"/>
      <c r="AH97" s="2"/>
    </row>
    <row r="98" spans="1:35" ht="15" thickBot="1" x14ac:dyDescent="0.45">
      <c r="A98" s="54"/>
      <c r="B98" s="55"/>
      <c r="C98" s="55"/>
      <c r="D98" s="55"/>
      <c r="E98" s="55"/>
      <c r="F98" s="55"/>
      <c r="G98" s="60" t="s">
        <v>92</v>
      </c>
      <c r="H98" s="61">
        <f t="shared" ref="H98:P98" si="102">IF(OR(EXACT($E96,"Y"),(EXACT($F96,"Y"))),"-",H96-H97)</f>
        <v>-2</v>
      </c>
      <c r="I98" s="61">
        <f t="shared" si="102"/>
        <v>-1</v>
      </c>
      <c r="J98" s="61">
        <f t="shared" si="102"/>
        <v>-1</v>
      </c>
      <c r="K98" s="61">
        <f t="shared" si="102"/>
        <v>-1</v>
      </c>
      <c r="L98" s="61">
        <f t="shared" si="102"/>
        <v>-1</v>
      </c>
      <c r="M98" s="61">
        <f t="shared" si="102"/>
        <v>-1</v>
      </c>
      <c r="N98" s="61">
        <f t="shared" si="102"/>
        <v>-2</v>
      </c>
      <c r="O98" s="61">
        <f t="shared" si="102"/>
        <v>-1</v>
      </c>
      <c r="P98" s="61">
        <f t="shared" si="102"/>
        <v>-1</v>
      </c>
      <c r="Q98" s="62">
        <f>SUM(H98:P98)</f>
        <v>-11</v>
      </c>
      <c r="S98" s="63" t="str">
        <f>$A$12</f>
        <v>Front</v>
      </c>
      <c r="T98" s="43">
        <f t="shared" ref="T98:AB98" si="103">IF($A$12="Front",T$1,T$2)</f>
        <v>4</v>
      </c>
      <c r="U98" s="43">
        <f t="shared" si="103"/>
        <v>3</v>
      </c>
      <c r="V98" s="43">
        <f t="shared" si="103"/>
        <v>4</v>
      </c>
      <c r="W98" s="43">
        <f t="shared" si="103"/>
        <v>5</v>
      </c>
      <c r="X98" s="43">
        <f t="shared" si="103"/>
        <v>4</v>
      </c>
      <c r="Y98" s="43">
        <f t="shared" si="103"/>
        <v>3</v>
      </c>
      <c r="Z98" s="43">
        <f t="shared" si="103"/>
        <v>4</v>
      </c>
      <c r="AA98" s="43">
        <f t="shared" si="103"/>
        <v>5</v>
      </c>
      <c r="AB98" s="43">
        <f t="shared" si="103"/>
        <v>4</v>
      </c>
      <c r="AC98" s="56">
        <f>SUM(T98:AB98)</f>
        <v>36</v>
      </c>
      <c r="AD98" s="41">
        <f>B93</f>
        <v>17</v>
      </c>
      <c r="AE98" s="81">
        <f>AC94+AC97</f>
        <v>0</v>
      </c>
      <c r="AF98" s="67">
        <f>IF(AC94&gt;=AC100,IF(AC94&gt;AC100,IF(AC97&gt;=AC103,IF(AC97&gt;AC103,4,3),2),IF(AC97&gt;=AC103,IF(AC97&gt;AC103,3,2),IF(AC97&gt;=AC103,IF(AC97&gt;AC103,2,1),1))),IF(AC97&gt;=AC103,IF(AC97&gt;AC103,2,1),0))</f>
        <v>1</v>
      </c>
      <c r="AG98" s="67">
        <f>IF(AE98&gt;AE104,4,IF(AE98=AE104,2,0))</f>
        <v>0</v>
      </c>
      <c r="AH98" s="68">
        <v>0</v>
      </c>
      <c r="AI98" s="68">
        <f>SUM(AF98:AH98)</f>
        <v>1</v>
      </c>
    </row>
    <row r="99" spans="1:35" x14ac:dyDescent="0.4">
      <c r="A99" s="64" t="s">
        <v>93</v>
      </c>
      <c r="B99" s="69">
        <v>16</v>
      </c>
      <c r="C99" s="70">
        <v>31</v>
      </c>
      <c r="D99" s="69" t="str">
        <f>VLOOKUP($C99,[1]Summary!$A$4:$BL$39,4, FALSE)</f>
        <v>Rhonda Lukas</v>
      </c>
      <c r="E99" s="70"/>
      <c r="F99" s="70"/>
      <c r="G99" s="69" t="s">
        <v>88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f>SUM(H99:P99)</f>
        <v>0</v>
      </c>
      <c r="S99" s="66" t="s">
        <v>89</v>
      </c>
      <c r="T99" s="52">
        <f t="shared" ref="T99:AB99" si="104">IF(H99&gt;=T101+H100+2,SUM(T101+H100+2),H99)</f>
        <v>0</v>
      </c>
      <c r="U99" s="52">
        <f t="shared" si="104"/>
        <v>0</v>
      </c>
      <c r="V99" s="52">
        <f t="shared" si="104"/>
        <v>0</v>
      </c>
      <c r="W99" s="52">
        <f t="shared" si="104"/>
        <v>0</v>
      </c>
      <c r="X99" s="52">
        <f t="shared" si="104"/>
        <v>0</v>
      </c>
      <c r="Y99" s="52">
        <f t="shared" si="104"/>
        <v>0</v>
      </c>
      <c r="Z99" s="52">
        <f t="shared" si="104"/>
        <v>0</v>
      </c>
      <c r="AA99" s="52">
        <f t="shared" si="104"/>
        <v>0</v>
      </c>
      <c r="AB99" s="52">
        <f t="shared" si="104"/>
        <v>0</v>
      </c>
      <c r="AC99" s="62">
        <f>SUM(T99:AB99)</f>
        <v>0</v>
      </c>
      <c r="AD99" s="41"/>
      <c r="AE99" s="2"/>
      <c r="AH99" s="2"/>
    </row>
    <row r="100" spans="1:35" x14ac:dyDescent="0.4">
      <c r="A100" s="54"/>
      <c r="B100" s="55"/>
      <c r="C100" s="55"/>
      <c r="D100" s="55"/>
      <c r="E100" s="55"/>
      <c r="F100" s="55"/>
      <c r="G100" s="43" t="s">
        <v>90</v>
      </c>
      <c r="H100" s="43">
        <f>IF($A$96="Front",VLOOKUP($Q100,'[1]Handicap Chart'!$B$4:$K$40,2),VLOOKUP($Q100,'[1]Handicap Chart'!$B$4:$K$40,10))</f>
        <v>1</v>
      </c>
      <c r="I100" s="43">
        <f>IF($A$96="Front",VLOOKUP($Q100,'[1]Handicap Chart'!$B$4:$K$40,4),VLOOKUP($Q100,'[1]Handicap Chart'!$B$4:$K$40,3))</f>
        <v>1</v>
      </c>
      <c r="J100" s="43">
        <f>IF($A$96="Front",VLOOKUP($Q100,'[1]Handicap Chart'!$B$4:$K$40,8),VLOOKUP($Q100,'[1]Handicap Chart'!$B$4:$K$40,6))</f>
        <v>1</v>
      </c>
      <c r="K100" s="43">
        <f>IF($A$96="Front",VLOOKUP($Q100,'[1]Handicap Chart'!$B$4:$K$40,9),VLOOKUP($Q100,'[1]Handicap Chart'!$B$4:$K$40,5))</f>
        <v>1</v>
      </c>
      <c r="L100" s="43">
        <f>IF($A$96="Front",VLOOKUP($Q100,'[1]Handicap Chart'!$B$4:$K$40,5),VLOOKUP($Q100,'[1]Handicap Chart'!$B$4:$K$40,4))</f>
        <v>1</v>
      </c>
      <c r="M100" s="43">
        <f>IF($A$96="Front",VLOOKUP($Q100,'[1]Handicap Chart'!$B$4:$K$40,10),VLOOKUP($Q100,'[1]Handicap Chart'!$B$4:$K$40,9))</f>
        <v>0</v>
      </c>
      <c r="N100" s="43">
        <f>IF($A$96="Front",VLOOKUP($Q100,'[1]Handicap Chart'!$B$4:$K$40,3),VLOOKUP($Q100,'[1]Handicap Chart'!$B$4:$K$40,7))</f>
        <v>1</v>
      </c>
      <c r="O100" s="43">
        <f>IF($A$96="Front",VLOOKUP($Q100,'[1]Handicap Chart'!$B$4:$K$40,7),VLOOKUP($Q100,'[1]Handicap Chart'!$B$4:$K$40,8))</f>
        <v>1</v>
      </c>
      <c r="P100" s="43">
        <f>IF($A$96="Front",VLOOKUP($Q100,'[1]Handicap Chart'!$B$4:$K$40,6),VLOOKUP($Q100,'[1]Handicap Chart'!$B$4:$K$40,2))</f>
        <v>1</v>
      </c>
      <c r="Q100" s="56">
        <f>VLOOKUP($C99,[1]Summary!$A$4:$BL$39,50, FALSE)</f>
        <v>8</v>
      </c>
      <c r="S100" s="72" t="s">
        <v>91</v>
      </c>
      <c r="T100" s="72">
        <f>IF(OR(EXACT($E99,"Y"),(EXACT($F99,"Y"))),"-",IF(H101-T101&gt;1,-1,IF(H101-T101=0,1,IF(H101-T101=-1,3,IF(H101-T101=-2,4,IF(H101-T101=-3,5,0))))))</f>
        <v>0</v>
      </c>
      <c r="U100" s="72">
        <f t="shared" ref="U100:AB100" si="105">IF(OR(EXACT($E99,"Y"),(EXACT($F99,"Y"))),"-",IF(I101-U101&gt;1,-1,IF(I101-U101=0,1,IF(I101-U101=-1,3,IF(I101-U101=-2,4,IF(I101-U101=-3,5,0))))))</f>
        <v>0</v>
      </c>
      <c r="V100" s="72">
        <f t="shared" si="105"/>
        <v>0</v>
      </c>
      <c r="W100" s="72">
        <f t="shared" si="105"/>
        <v>0</v>
      </c>
      <c r="X100" s="72">
        <f t="shared" si="105"/>
        <v>0</v>
      </c>
      <c r="Y100" s="72">
        <f t="shared" si="105"/>
        <v>5</v>
      </c>
      <c r="Z100" s="72">
        <f t="shared" si="105"/>
        <v>0</v>
      </c>
      <c r="AA100" s="72">
        <f t="shared" si="105"/>
        <v>0</v>
      </c>
      <c r="AB100" s="72">
        <f t="shared" si="105"/>
        <v>0</v>
      </c>
      <c r="AC100" s="71">
        <f>IF(EXACT(E99,"Y"),6,IF(EXACT(F99,"Y"),2,SUM(T100:AB100)))</f>
        <v>5</v>
      </c>
      <c r="AD100" s="41"/>
      <c r="AE100" s="2"/>
      <c r="AH100" s="2"/>
    </row>
    <row r="101" spans="1:35" x14ac:dyDescent="0.4">
      <c r="A101" s="54"/>
      <c r="B101" s="55"/>
      <c r="C101" s="55"/>
      <c r="D101" s="55"/>
      <c r="E101" s="55"/>
      <c r="F101" s="55"/>
      <c r="G101" s="60" t="s">
        <v>92</v>
      </c>
      <c r="H101" s="61">
        <f t="shared" ref="H101:P101" si="106">IF(OR(EXACT($E99,"Y"),(EXACT($F99,"Y"))),"-",H99-H100)</f>
        <v>-1</v>
      </c>
      <c r="I101" s="61">
        <f t="shared" si="106"/>
        <v>-1</v>
      </c>
      <c r="J101" s="61">
        <f t="shared" si="106"/>
        <v>-1</v>
      </c>
      <c r="K101" s="61">
        <f t="shared" si="106"/>
        <v>-1</v>
      </c>
      <c r="L101" s="61">
        <f t="shared" si="106"/>
        <v>-1</v>
      </c>
      <c r="M101" s="61">
        <f t="shared" si="106"/>
        <v>0</v>
      </c>
      <c r="N101" s="61">
        <f t="shared" si="106"/>
        <v>-1</v>
      </c>
      <c r="O101" s="61">
        <f t="shared" si="106"/>
        <v>-1</v>
      </c>
      <c r="P101" s="61">
        <f t="shared" si="106"/>
        <v>-1</v>
      </c>
      <c r="Q101" s="62">
        <f>SUM(H101:P101)</f>
        <v>-8</v>
      </c>
      <c r="S101" s="63" t="str">
        <f>$A$12</f>
        <v>Front</v>
      </c>
      <c r="T101" s="43">
        <f t="shared" ref="T101:AB101" si="107">IF($A$12="Front",T$1,T$2)</f>
        <v>4</v>
      </c>
      <c r="U101" s="43">
        <f t="shared" si="107"/>
        <v>3</v>
      </c>
      <c r="V101" s="43">
        <f t="shared" si="107"/>
        <v>4</v>
      </c>
      <c r="W101" s="43">
        <f t="shared" si="107"/>
        <v>5</v>
      </c>
      <c r="X101" s="43">
        <f t="shared" si="107"/>
        <v>4</v>
      </c>
      <c r="Y101" s="43">
        <f t="shared" si="107"/>
        <v>3</v>
      </c>
      <c r="Z101" s="43">
        <f t="shared" si="107"/>
        <v>4</v>
      </c>
      <c r="AA101" s="43">
        <f t="shared" si="107"/>
        <v>5</v>
      </c>
      <c r="AB101" s="43">
        <f t="shared" si="107"/>
        <v>4</v>
      </c>
      <c r="AC101" s="56">
        <f>SUM(T101:AB101)</f>
        <v>36</v>
      </c>
      <c r="AD101" s="41"/>
      <c r="AE101" s="2"/>
      <c r="AH101" s="2"/>
    </row>
    <row r="102" spans="1:35" x14ac:dyDescent="0.4">
      <c r="A102" s="64" t="s">
        <v>100</v>
      </c>
      <c r="B102" s="69">
        <v>16</v>
      </c>
      <c r="C102" s="70">
        <v>32</v>
      </c>
      <c r="D102" s="69" t="str">
        <f>VLOOKUP($C102,[1]Summary!$A$4:$BL$39,4, FALSE)</f>
        <v>Carol Blizard</v>
      </c>
      <c r="E102" s="70"/>
      <c r="F102" s="70"/>
      <c r="G102" s="69" t="s">
        <v>88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f>SUM(H102:P102)</f>
        <v>0</v>
      </c>
      <c r="S102" s="66" t="s">
        <v>89</v>
      </c>
      <c r="T102" s="52">
        <f t="shared" ref="T102:AB102" si="108">IF(H102&gt;=T104+H103+2,SUM(T104+H103+2),H102)</f>
        <v>0</v>
      </c>
      <c r="U102" s="52">
        <f t="shared" si="108"/>
        <v>0</v>
      </c>
      <c r="V102" s="52">
        <f t="shared" si="108"/>
        <v>0</v>
      </c>
      <c r="W102" s="52">
        <f t="shared" si="108"/>
        <v>0</v>
      </c>
      <c r="X102" s="52">
        <f t="shared" si="108"/>
        <v>0</v>
      </c>
      <c r="Y102" s="52">
        <f t="shared" si="108"/>
        <v>0</v>
      </c>
      <c r="Z102" s="52">
        <f t="shared" si="108"/>
        <v>0</v>
      </c>
      <c r="AA102" s="52">
        <f t="shared" si="108"/>
        <v>0</v>
      </c>
      <c r="AB102" s="52">
        <f t="shared" si="108"/>
        <v>0</v>
      </c>
      <c r="AC102" s="62">
        <f>SUM(T102:AB102)</f>
        <v>0</v>
      </c>
      <c r="AD102" s="41"/>
      <c r="AE102" s="2"/>
      <c r="AH102" s="2"/>
    </row>
    <row r="103" spans="1:35" ht="15" thickBot="1" x14ac:dyDescent="0.45">
      <c r="A103" s="54"/>
      <c r="B103" s="55"/>
      <c r="C103" s="55"/>
      <c r="D103" s="55"/>
      <c r="E103" s="55"/>
      <c r="F103" s="55"/>
      <c r="G103" s="43" t="s">
        <v>90</v>
      </c>
      <c r="H103" s="43">
        <f>IF($A$96="Front",VLOOKUP($Q103,'[1]Handicap Chart'!$B$4:$K$40,2),VLOOKUP($Q103,'[1]Handicap Chart'!$B$4:$K$40,10))</f>
        <v>4</v>
      </c>
      <c r="I103" s="43">
        <f>IF($A$96="Front",VLOOKUP($Q103,'[1]Handicap Chart'!$B$4:$K$40,4),VLOOKUP($Q103,'[1]Handicap Chart'!$B$4:$K$40,3))</f>
        <v>4</v>
      </c>
      <c r="J103" s="43">
        <f>IF($A$96="Front",VLOOKUP($Q103,'[1]Handicap Chart'!$B$4:$K$40,8),VLOOKUP($Q103,'[1]Handicap Chart'!$B$4:$K$40,6))</f>
        <v>3</v>
      </c>
      <c r="K103" s="43">
        <f>IF($A$96="Front",VLOOKUP($Q103,'[1]Handicap Chart'!$B$4:$K$40,9),VLOOKUP($Q103,'[1]Handicap Chart'!$B$4:$K$40,5))</f>
        <v>3</v>
      </c>
      <c r="L103" s="43">
        <f>IF($A$96="Front",VLOOKUP($Q103,'[1]Handicap Chart'!$B$4:$K$40,5),VLOOKUP($Q103,'[1]Handicap Chart'!$B$4:$K$40,4))</f>
        <v>3</v>
      </c>
      <c r="M103" s="43">
        <f>IF($A$96="Front",VLOOKUP($Q103,'[1]Handicap Chart'!$B$4:$K$40,10),VLOOKUP($Q103,'[1]Handicap Chart'!$B$4:$K$40,9))</f>
        <v>3</v>
      </c>
      <c r="N103" s="43">
        <f>IF($A$96="Front",VLOOKUP($Q103,'[1]Handicap Chart'!$B$4:$K$40,3),VLOOKUP($Q103,'[1]Handicap Chart'!$B$4:$K$40,7))</f>
        <v>4</v>
      </c>
      <c r="O103" s="43">
        <f>IF($A$96="Front",VLOOKUP($Q103,'[1]Handicap Chart'!$B$4:$K$40,7),VLOOKUP($Q103,'[1]Handicap Chart'!$B$4:$K$40,8))</f>
        <v>3</v>
      </c>
      <c r="P103" s="43">
        <f>IF($A$96="Front",VLOOKUP($Q103,'[1]Handicap Chart'!$B$4:$K$40,6),VLOOKUP($Q103,'[1]Handicap Chart'!$B$4:$K$40,2))</f>
        <v>3</v>
      </c>
      <c r="Q103" s="56">
        <f>VLOOKUP($C102,[1]Summary!$A$4:$BL$39,50, FALSE)</f>
        <v>31</v>
      </c>
      <c r="S103" s="72" t="s">
        <v>91</v>
      </c>
      <c r="T103" s="72">
        <f>IF(OR(EXACT($E102,"Y"),(EXACT($F102,"Y"))),"-",IF(H104-T104&gt;1,-1,IF(H104-T104=0,1,IF(H104-T104=-1,3,IF(H104-T104=-2,4,IF(H104-T104=-3,5,0))))))</f>
        <v>0</v>
      </c>
      <c r="U103" s="72">
        <f t="shared" ref="U103:AB103" si="109">IF(OR(EXACT($E102,"Y"),(EXACT($F102,"Y"))),"-",IF(I104-U104&gt;1,-1,IF(I104-U104=0,1,IF(I104-U104=-1,3,IF(I104-U104=-2,4,IF(I104-U104=-3,5,0))))))</f>
        <v>0</v>
      </c>
      <c r="V103" s="72">
        <f t="shared" si="109"/>
        <v>0</v>
      </c>
      <c r="W103" s="72">
        <f t="shared" si="109"/>
        <v>0</v>
      </c>
      <c r="X103" s="72">
        <f t="shared" si="109"/>
        <v>0</v>
      </c>
      <c r="Y103" s="72">
        <f t="shared" si="109"/>
        <v>0</v>
      </c>
      <c r="Z103" s="72">
        <f t="shared" si="109"/>
        <v>0</v>
      </c>
      <c r="AA103" s="72">
        <f t="shared" si="109"/>
        <v>0</v>
      </c>
      <c r="AB103" s="72">
        <f t="shared" si="109"/>
        <v>0</v>
      </c>
      <c r="AC103" s="71">
        <f>IF(EXACT(E102,"Y"),6,IF(EXACT(F102,"Y"),2,SUM(T103:AB103)))</f>
        <v>0</v>
      </c>
      <c r="AD103" s="41"/>
      <c r="AE103" s="2"/>
      <c r="AH103" s="2"/>
    </row>
    <row r="104" spans="1:35" ht="15" thickBot="1" x14ac:dyDescent="0.45">
      <c r="A104" s="73"/>
      <c r="B104" s="74"/>
      <c r="C104" s="74"/>
      <c r="D104" s="74"/>
      <c r="E104" s="74"/>
      <c r="F104" s="74"/>
      <c r="G104" s="75" t="s">
        <v>92</v>
      </c>
      <c r="H104" s="61">
        <f t="shared" ref="H104:P104" si="110">IF(OR(EXACT($E102,"Y"),(EXACT($F102,"Y"))),"-",H102-H103)</f>
        <v>-4</v>
      </c>
      <c r="I104" s="61">
        <f t="shared" si="110"/>
        <v>-4</v>
      </c>
      <c r="J104" s="61">
        <f t="shared" si="110"/>
        <v>-3</v>
      </c>
      <c r="K104" s="61">
        <f t="shared" si="110"/>
        <v>-3</v>
      </c>
      <c r="L104" s="61">
        <f t="shared" si="110"/>
        <v>-3</v>
      </c>
      <c r="M104" s="61">
        <f t="shared" si="110"/>
        <v>-3</v>
      </c>
      <c r="N104" s="61">
        <f t="shared" si="110"/>
        <v>-4</v>
      </c>
      <c r="O104" s="61">
        <f t="shared" si="110"/>
        <v>-3</v>
      </c>
      <c r="P104" s="61">
        <f t="shared" si="110"/>
        <v>-3</v>
      </c>
      <c r="Q104" s="76">
        <f>SUM(H104:P104)</f>
        <v>-30</v>
      </c>
      <c r="S104" s="28" t="str">
        <f>$A$12</f>
        <v>Front</v>
      </c>
      <c r="T104" s="77">
        <f t="shared" ref="T104:AB104" si="111">IF($A$12="Front",T$1,T$2)</f>
        <v>4</v>
      </c>
      <c r="U104" s="77">
        <f t="shared" si="111"/>
        <v>3</v>
      </c>
      <c r="V104" s="77">
        <f t="shared" si="111"/>
        <v>4</v>
      </c>
      <c r="W104" s="77">
        <f t="shared" si="111"/>
        <v>5</v>
      </c>
      <c r="X104" s="77">
        <f t="shared" si="111"/>
        <v>4</v>
      </c>
      <c r="Y104" s="77">
        <f t="shared" si="111"/>
        <v>3</v>
      </c>
      <c r="Z104" s="77">
        <f t="shared" si="111"/>
        <v>4</v>
      </c>
      <c r="AA104" s="77">
        <f t="shared" si="111"/>
        <v>5</v>
      </c>
      <c r="AB104" s="77">
        <f t="shared" si="111"/>
        <v>4</v>
      </c>
      <c r="AC104" s="78">
        <f>SUM(T104:AB104)</f>
        <v>36</v>
      </c>
      <c r="AD104" s="41">
        <f>B99</f>
        <v>16</v>
      </c>
      <c r="AE104" s="79">
        <f>AC100+AC103</f>
        <v>5</v>
      </c>
      <c r="AF104" s="79">
        <f>IF(AC100&gt;=AC94,IF(AC100&gt;AC94,IF(AC103&gt;=AC97,IF(AC103&gt;AC97,4,3),2),IF(AC103&gt;=AC97,IF(AC103&gt;AC97,3,2),IF(AC103&gt;=AC97,IF(AC103&gt;AC97,2,1),1))),IF(AC103&gt;=AC97,IF(AC103&gt;AC97,2,1),0))</f>
        <v>3</v>
      </c>
      <c r="AG104" s="79">
        <f>IF(AE104&gt;AE98,4,IF(AE104=AE98,2,0))</f>
        <v>4</v>
      </c>
      <c r="AH104" s="80">
        <v>0</v>
      </c>
      <c r="AI104" s="80">
        <f>SUM(AF104:AH104)</f>
        <v>7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45">
      <c r="A106" s="43" t="s">
        <v>81</v>
      </c>
      <c r="B106" s="43" t="s">
        <v>0</v>
      </c>
      <c r="C106" s="43" t="s">
        <v>6</v>
      </c>
      <c r="D106" s="43" t="s">
        <v>83</v>
      </c>
      <c r="E106" s="43" t="s">
        <v>84</v>
      </c>
      <c r="F106" s="43" t="s">
        <v>85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86</v>
      </c>
      <c r="S106" s="44" t="s">
        <v>87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4">
      <c r="A107" s="47">
        <v>2</v>
      </c>
      <c r="B107" s="48">
        <v>5</v>
      </c>
      <c r="C107" s="49">
        <v>9</v>
      </c>
      <c r="D107" s="48" t="str">
        <f>VLOOKUP($C107,[1]Summary!$A$4:$BL$39,4, FALSE)</f>
        <v>Jack Carickhoff</v>
      </c>
      <c r="E107" s="49"/>
      <c r="F107" s="49"/>
      <c r="G107" s="48" t="s">
        <v>88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f>SUM(H107:P107)</f>
        <v>0</v>
      </c>
      <c r="S107" s="51" t="s">
        <v>89</v>
      </c>
      <c r="T107" s="52">
        <f t="shared" ref="T107:AB107" si="112">IF(H107&gt;=T109+H108+2,SUM(T109+H108+2),H107)</f>
        <v>0</v>
      </c>
      <c r="U107" s="52">
        <f t="shared" si="112"/>
        <v>0</v>
      </c>
      <c r="V107" s="52">
        <f t="shared" si="112"/>
        <v>0</v>
      </c>
      <c r="W107" s="52">
        <f t="shared" si="112"/>
        <v>0</v>
      </c>
      <c r="X107" s="52">
        <f t="shared" si="112"/>
        <v>0</v>
      </c>
      <c r="Y107" s="52">
        <f t="shared" si="112"/>
        <v>0</v>
      </c>
      <c r="Z107" s="52">
        <f t="shared" si="112"/>
        <v>0</v>
      </c>
      <c r="AA107" s="52">
        <f t="shared" si="112"/>
        <v>0</v>
      </c>
      <c r="AB107" s="52">
        <f t="shared" si="112"/>
        <v>0</v>
      </c>
      <c r="AC107" s="53">
        <f>SUM(T107:AB107)</f>
        <v>0</v>
      </c>
      <c r="AD107" s="41"/>
      <c r="AE107" s="2"/>
      <c r="AH107" s="2"/>
    </row>
    <row r="108" spans="1:35" x14ac:dyDescent="0.4">
      <c r="A108" s="54"/>
      <c r="B108" s="55"/>
      <c r="C108" s="55"/>
      <c r="D108" s="55"/>
      <c r="E108" s="55"/>
      <c r="F108" s="55"/>
      <c r="G108" s="43" t="s">
        <v>90</v>
      </c>
      <c r="H108" s="43">
        <f>IF($A$110="Front",VLOOKUP($Q108,'[1]Handicap Chart'!$B$4:$K$40,2),VLOOKUP($Q108,'[1]Handicap Chart'!$B$4:$K$40,10))</f>
        <v>1</v>
      </c>
      <c r="I108" s="43">
        <f>IF($A$110="Front",VLOOKUP($Q108,'[1]Handicap Chart'!$B$4:$K$40,4),VLOOKUP($Q108,'[1]Handicap Chart'!$B$4:$K$40,3))</f>
        <v>0</v>
      </c>
      <c r="J108" s="43">
        <f>IF($A$110="Front",VLOOKUP($Q108,'[1]Handicap Chart'!$B$4:$K$40,8),VLOOKUP($Q108,'[1]Handicap Chart'!$B$4:$K$40,6))</f>
        <v>0</v>
      </c>
      <c r="K108" s="43">
        <f>IF($A$110="Front",VLOOKUP($Q108,'[1]Handicap Chart'!$B$4:$K$40,9),VLOOKUP($Q108,'[1]Handicap Chart'!$B$4:$K$40,5))</f>
        <v>0</v>
      </c>
      <c r="L108" s="43">
        <f>IF($A$110="Front",VLOOKUP($Q108,'[1]Handicap Chart'!$B$4:$K$40,5),VLOOKUP($Q108,'[1]Handicap Chart'!$B$4:$K$40,4))</f>
        <v>0</v>
      </c>
      <c r="M108" s="43">
        <f>IF($A$110="Front",VLOOKUP($Q108,'[1]Handicap Chart'!$B$4:$K$40,10),VLOOKUP($Q108,'[1]Handicap Chart'!$B$4:$K$40,9))</f>
        <v>0</v>
      </c>
      <c r="N108" s="43">
        <f>IF($A$110="Front",VLOOKUP($Q108,'[1]Handicap Chart'!$B$4:$K$40,3),VLOOKUP($Q108,'[1]Handicap Chart'!$B$4:$K$40,7))</f>
        <v>1</v>
      </c>
      <c r="O108" s="43">
        <f>IF($A$110="Front",VLOOKUP($Q108,'[1]Handicap Chart'!$B$4:$K$40,7),VLOOKUP($Q108,'[1]Handicap Chart'!$B$4:$K$40,8))</f>
        <v>0</v>
      </c>
      <c r="P108" s="43">
        <f>IF($A$110="Front",VLOOKUP($Q108,'[1]Handicap Chart'!$B$4:$K$40,6),VLOOKUP($Q108,'[1]Handicap Chart'!$B$4:$K$40,2))</f>
        <v>0</v>
      </c>
      <c r="Q108" s="56">
        <f>VLOOKUP($C107,[1]Summary!$A$4:$BL$39,50, FALSE)</f>
        <v>2</v>
      </c>
      <c r="S108" s="57" t="s">
        <v>91</v>
      </c>
      <c r="T108" s="58">
        <f>IF(OR(EXACT($E107,"Y"),(EXACT($F107,"Y"))),"-",IF(H109-T109&gt;1,-1,IF(H109-T109=0,1,IF(H109-T109=-1,3,IF(H109-T109=-2,4,IF(H109-T109=-3,5,0))))))</f>
        <v>0</v>
      </c>
      <c r="U108" s="58">
        <f t="shared" ref="U108:AB108" si="113">IF(OR(EXACT($E107,"Y"),(EXACT($F107,"Y"))),"-",IF(I109-U109&gt;1,-1,IF(I109-U109=0,1,IF(I109-U109=-1,3,IF(I109-U109=-2,4,IF(I109-U109=-3,5,0))))))</f>
        <v>5</v>
      </c>
      <c r="V108" s="58">
        <f t="shared" si="113"/>
        <v>0</v>
      </c>
      <c r="W108" s="58">
        <f t="shared" si="113"/>
        <v>0</v>
      </c>
      <c r="X108" s="58">
        <f t="shared" si="113"/>
        <v>0</v>
      </c>
      <c r="Y108" s="58">
        <f t="shared" si="113"/>
        <v>5</v>
      </c>
      <c r="Z108" s="58">
        <f t="shared" si="113"/>
        <v>0</v>
      </c>
      <c r="AA108" s="58">
        <f t="shared" si="113"/>
        <v>0</v>
      </c>
      <c r="AB108" s="58">
        <f t="shared" si="113"/>
        <v>0</v>
      </c>
      <c r="AC108" s="59">
        <f>IF(EXACT(E107,"Y"),6,IF(EXACT(F107,"Y"),2,SUM(T108:AB108)))</f>
        <v>10</v>
      </c>
      <c r="AD108" s="41"/>
      <c r="AE108" s="2"/>
      <c r="AH108" s="2"/>
    </row>
    <row r="109" spans="1:35" ht="15" thickBot="1" x14ac:dyDescent="0.45">
      <c r="A109" s="54"/>
      <c r="B109" s="55"/>
      <c r="C109" s="55"/>
      <c r="D109" s="55"/>
      <c r="E109" s="55"/>
      <c r="F109" s="55"/>
      <c r="G109" s="60" t="s">
        <v>92</v>
      </c>
      <c r="H109" s="61">
        <f t="shared" ref="H109:P109" si="114">IF(OR(EXACT($E107,"Y"),(EXACT($F107,"Y"))),"-",H107-H108)</f>
        <v>-1</v>
      </c>
      <c r="I109" s="61">
        <f t="shared" si="114"/>
        <v>0</v>
      </c>
      <c r="J109" s="61">
        <f t="shared" si="114"/>
        <v>0</v>
      </c>
      <c r="K109" s="61">
        <f t="shared" si="114"/>
        <v>0</v>
      </c>
      <c r="L109" s="61">
        <f t="shared" si="114"/>
        <v>0</v>
      </c>
      <c r="M109" s="61">
        <f t="shared" si="114"/>
        <v>0</v>
      </c>
      <c r="N109" s="61">
        <f t="shared" si="114"/>
        <v>-1</v>
      </c>
      <c r="O109" s="61">
        <f t="shared" si="114"/>
        <v>0</v>
      </c>
      <c r="P109" s="61">
        <f t="shared" si="114"/>
        <v>0</v>
      </c>
      <c r="Q109" s="62">
        <f>SUM(H109:P109)</f>
        <v>-2</v>
      </c>
      <c r="S109" s="63" t="str">
        <f>$A$110</f>
        <v>Front</v>
      </c>
      <c r="T109" s="43">
        <f t="shared" ref="T109:AB109" si="115">IF($A$110="Front",T$1,T$2)</f>
        <v>4</v>
      </c>
      <c r="U109" s="43">
        <f t="shared" si="115"/>
        <v>3</v>
      </c>
      <c r="V109" s="43">
        <f t="shared" si="115"/>
        <v>4</v>
      </c>
      <c r="W109" s="43">
        <f t="shared" si="115"/>
        <v>5</v>
      </c>
      <c r="X109" s="43">
        <f t="shared" si="115"/>
        <v>4</v>
      </c>
      <c r="Y109" s="43">
        <f t="shared" si="115"/>
        <v>3</v>
      </c>
      <c r="Z109" s="43">
        <f t="shared" si="115"/>
        <v>4</v>
      </c>
      <c r="AA109" s="43">
        <f t="shared" si="115"/>
        <v>5</v>
      </c>
      <c r="AB109" s="43">
        <f t="shared" si="115"/>
        <v>4</v>
      </c>
      <c r="AC109" s="56">
        <f>SUM(T109:AB109)</f>
        <v>36</v>
      </c>
      <c r="AD109" s="41"/>
      <c r="AE109" s="2"/>
      <c r="AH109" s="2"/>
    </row>
    <row r="110" spans="1:35" x14ac:dyDescent="0.4">
      <c r="A110" s="64" t="s">
        <v>73</v>
      </c>
      <c r="B110" s="58">
        <v>5</v>
      </c>
      <c r="C110" s="65">
        <v>10</v>
      </c>
      <c r="D110" s="48" t="str">
        <f>VLOOKUP($C110,[1]Summary!$A$4:$BL$39,4, FALSE)</f>
        <v>Mike Celenza</v>
      </c>
      <c r="E110" s="65"/>
      <c r="F110" s="65"/>
      <c r="G110" s="58" t="s">
        <v>88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f>SUM(H110:P110)</f>
        <v>0</v>
      </c>
      <c r="S110" s="66" t="s">
        <v>89</v>
      </c>
      <c r="T110" s="52">
        <f t="shared" ref="T110:AB110" si="116">IF(H110&gt;=T112+H111+2,SUM(T112+H111+2),H110)</f>
        <v>0</v>
      </c>
      <c r="U110" s="52">
        <f t="shared" si="116"/>
        <v>0</v>
      </c>
      <c r="V110" s="52">
        <f t="shared" si="116"/>
        <v>0</v>
      </c>
      <c r="W110" s="52">
        <f t="shared" si="116"/>
        <v>0</v>
      </c>
      <c r="X110" s="52">
        <f t="shared" si="116"/>
        <v>0</v>
      </c>
      <c r="Y110" s="52">
        <f t="shared" si="116"/>
        <v>0</v>
      </c>
      <c r="Z110" s="52">
        <f t="shared" si="116"/>
        <v>0</v>
      </c>
      <c r="AA110" s="52">
        <f t="shared" si="116"/>
        <v>0</v>
      </c>
      <c r="AB110" s="52">
        <f t="shared" si="116"/>
        <v>0</v>
      </c>
      <c r="AC110" s="62">
        <f>SUM(T110:AB110)</f>
        <v>0</v>
      </c>
      <c r="AD110" s="41"/>
      <c r="AE110" s="2"/>
      <c r="AH110" s="2"/>
    </row>
    <row r="111" spans="1:35" ht="15" thickBot="1" x14ac:dyDescent="0.45">
      <c r="A111" s="54"/>
      <c r="B111" s="55"/>
      <c r="C111" s="55"/>
      <c r="D111" s="55"/>
      <c r="E111" s="55"/>
      <c r="F111" s="55"/>
      <c r="G111" s="43" t="s">
        <v>90</v>
      </c>
      <c r="H111" s="43">
        <f>IF($A$110="Front",VLOOKUP($Q111,'[1]Handicap Chart'!$B$4:$K$40,2),VLOOKUP($Q111,'[1]Handicap Chart'!$B$4:$K$40,10))</f>
        <v>2</v>
      </c>
      <c r="I111" s="43">
        <f>IF($A$110="Front",VLOOKUP($Q111,'[1]Handicap Chart'!$B$4:$K$40,4),VLOOKUP($Q111,'[1]Handicap Chart'!$B$4:$K$40,3))</f>
        <v>2</v>
      </c>
      <c r="J111" s="43">
        <f>IF($A$110="Front",VLOOKUP($Q111,'[1]Handicap Chart'!$B$4:$K$40,8),VLOOKUP($Q111,'[1]Handicap Chart'!$B$4:$K$40,6))</f>
        <v>1</v>
      </c>
      <c r="K111" s="43">
        <f>IF($A$110="Front",VLOOKUP($Q111,'[1]Handicap Chart'!$B$4:$K$40,9),VLOOKUP($Q111,'[1]Handicap Chart'!$B$4:$K$40,5))</f>
        <v>1</v>
      </c>
      <c r="L111" s="43">
        <f>IF($A$110="Front",VLOOKUP($Q111,'[1]Handicap Chart'!$B$4:$K$40,5),VLOOKUP($Q111,'[1]Handicap Chart'!$B$4:$K$40,4))</f>
        <v>1</v>
      </c>
      <c r="M111" s="43">
        <f>IF($A$110="Front",VLOOKUP($Q111,'[1]Handicap Chart'!$B$4:$K$40,10),VLOOKUP($Q111,'[1]Handicap Chart'!$B$4:$K$40,9))</f>
        <v>1</v>
      </c>
      <c r="N111" s="43">
        <f>IF($A$110="Front",VLOOKUP($Q111,'[1]Handicap Chart'!$B$4:$K$40,3),VLOOKUP($Q111,'[1]Handicap Chart'!$B$4:$K$40,7))</f>
        <v>2</v>
      </c>
      <c r="O111" s="43">
        <f>IF($A$110="Front",VLOOKUP($Q111,'[1]Handicap Chart'!$B$4:$K$40,7),VLOOKUP($Q111,'[1]Handicap Chart'!$B$4:$K$40,8))</f>
        <v>1</v>
      </c>
      <c r="P111" s="43">
        <f>IF($A$110="Front",VLOOKUP($Q111,'[1]Handicap Chart'!$B$4:$K$40,6),VLOOKUP($Q111,'[1]Handicap Chart'!$B$4:$K$40,2))</f>
        <v>1</v>
      </c>
      <c r="Q111" s="56">
        <f>VLOOKUP($C110,[1]Summary!$A$4:$BL$39,50, FALSE)</f>
        <v>12</v>
      </c>
      <c r="S111" s="57" t="s">
        <v>91</v>
      </c>
      <c r="T111" s="58">
        <f>IF(OR(EXACT($E110,"Y"),(EXACT($F110,"Y"))),"-",IF(H112-T112&gt;1,-1,IF(H112-T112=0,1,IF(H112-T112=-1,3,IF(H112-T112=-2,4,IF(H112-T112=-3,5,0))))))</f>
        <v>0</v>
      </c>
      <c r="U111" s="58">
        <f t="shared" ref="U111:AB111" si="117">IF(OR(EXACT($E110,"Y"),(EXACT($F110,"Y"))),"-",IF(I112-U112&gt;1,-1,IF(I112-U112=0,1,IF(I112-U112=-1,3,IF(I112-U112=-2,4,IF(I112-U112=-3,5,0))))))</f>
        <v>0</v>
      </c>
      <c r="V111" s="58">
        <f t="shared" si="117"/>
        <v>0</v>
      </c>
      <c r="W111" s="58">
        <f t="shared" si="117"/>
        <v>0</v>
      </c>
      <c r="X111" s="58">
        <f t="shared" si="117"/>
        <v>0</v>
      </c>
      <c r="Y111" s="58">
        <f t="shared" si="117"/>
        <v>0</v>
      </c>
      <c r="Z111" s="58">
        <f t="shared" si="117"/>
        <v>0</v>
      </c>
      <c r="AA111" s="58">
        <f t="shared" si="117"/>
        <v>0</v>
      </c>
      <c r="AB111" s="58">
        <f t="shared" si="117"/>
        <v>0</v>
      </c>
      <c r="AC111" s="59">
        <f>IF(EXACT(E110,"Y"),6,IF(EXACT(F110,"Y"),2,SUM(T111:AB111)))</f>
        <v>0</v>
      </c>
      <c r="AD111" s="41"/>
      <c r="AE111" s="2"/>
      <c r="AH111" s="2"/>
    </row>
    <row r="112" spans="1:35" ht="15" thickBot="1" x14ac:dyDescent="0.45">
      <c r="A112" s="54"/>
      <c r="B112" s="55"/>
      <c r="C112" s="55"/>
      <c r="D112" s="55"/>
      <c r="E112" s="55"/>
      <c r="F112" s="55"/>
      <c r="G112" s="60" t="s">
        <v>92</v>
      </c>
      <c r="H112" s="61">
        <f t="shared" ref="H112:P112" si="118">IF(OR(EXACT($E110,"Y"),(EXACT($F110,"Y"))),"-",H110-H111)</f>
        <v>-2</v>
      </c>
      <c r="I112" s="61">
        <f t="shared" si="118"/>
        <v>-2</v>
      </c>
      <c r="J112" s="61">
        <f t="shared" si="118"/>
        <v>-1</v>
      </c>
      <c r="K112" s="61">
        <f t="shared" si="118"/>
        <v>-1</v>
      </c>
      <c r="L112" s="61">
        <f t="shared" si="118"/>
        <v>-1</v>
      </c>
      <c r="M112" s="61">
        <f t="shared" si="118"/>
        <v>-1</v>
      </c>
      <c r="N112" s="61">
        <f t="shared" si="118"/>
        <v>-2</v>
      </c>
      <c r="O112" s="61">
        <f t="shared" si="118"/>
        <v>-1</v>
      </c>
      <c r="P112" s="61">
        <f t="shared" si="118"/>
        <v>-1</v>
      </c>
      <c r="Q112" s="62">
        <f>SUM(H112:P112)</f>
        <v>-12</v>
      </c>
      <c r="S112" s="63" t="str">
        <f>$A$110</f>
        <v>Front</v>
      </c>
      <c r="T112" s="43">
        <f t="shared" ref="T112:AB112" si="119">IF($A$110="Front",T$1,T$2)</f>
        <v>4</v>
      </c>
      <c r="U112" s="43">
        <f t="shared" si="119"/>
        <v>3</v>
      </c>
      <c r="V112" s="43">
        <f t="shared" si="119"/>
        <v>4</v>
      </c>
      <c r="W112" s="43">
        <f t="shared" si="119"/>
        <v>5</v>
      </c>
      <c r="X112" s="43">
        <f t="shared" si="119"/>
        <v>4</v>
      </c>
      <c r="Y112" s="43">
        <f t="shared" si="119"/>
        <v>3</v>
      </c>
      <c r="Z112" s="43">
        <f t="shared" si="119"/>
        <v>4</v>
      </c>
      <c r="AA112" s="43">
        <f t="shared" si="119"/>
        <v>5</v>
      </c>
      <c r="AB112" s="43">
        <f t="shared" si="119"/>
        <v>4</v>
      </c>
      <c r="AC112" s="56">
        <f>SUM(T112:AB112)</f>
        <v>36</v>
      </c>
      <c r="AD112" s="41">
        <f>B107</f>
        <v>5</v>
      </c>
      <c r="AE112" s="81">
        <f>AC108+AC111</f>
        <v>10</v>
      </c>
      <c r="AF112" s="67">
        <f>IF(AC108&gt;=AC114,IF(AC108&gt;AC114,IF(AC111&gt;=AC117,IF(AC111&gt;AC117,4,3),2),IF(AC111&gt;=AC117,IF(AC111&gt;AC117,3,2),IF(AC111&gt;=AC117,IF(AC111&gt;AC117,2,1),1))),IF(AC111&gt;=AC117,IF(AC111&gt;AC117,2,1),0))</f>
        <v>2</v>
      </c>
      <c r="AG112" s="67">
        <f>IF(AE112&gt;AE118,4,IF(AE112=AE118,2,0))</f>
        <v>4</v>
      </c>
      <c r="AH112" s="68">
        <v>0</v>
      </c>
      <c r="AI112" s="68">
        <f>SUM(AF112:AH112)</f>
        <v>6</v>
      </c>
    </row>
    <row r="113" spans="1:35" x14ac:dyDescent="0.4">
      <c r="A113" s="64" t="s">
        <v>93</v>
      </c>
      <c r="B113" s="69">
        <v>3</v>
      </c>
      <c r="C113" s="70">
        <v>6</v>
      </c>
      <c r="D113" s="69" t="str">
        <f>VLOOKUP($C113,[1]Summary!$A$4:$BL$39,4, FALSE)</f>
        <v>Sanjay Reddy</v>
      </c>
      <c r="E113" s="70"/>
      <c r="F113" s="70"/>
      <c r="G113" s="69" t="s">
        <v>88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f>SUM(H113:P113)</f>
        <v>0</v>
      </c>
      <c r="S113" s="66" t="s">
        <v>89</v>
      </c>
      <c r="T113" s="52">
        <f t="shared" ref="T113:AB113" si="120">IF(H113&gt;=T115+H114+2,SUM(T115+H114+2),H113)</f>
        <v>0</v>
      </c>
      <c r="U113" s="52">
        <f t="shared" si="120"/>
        <v>0</v>
      </c>
      <c r="V113" s="52">
        <f t="shared" si="120"/>
        <v>0</v>
      </c>
      <c r="W113" s="52">
        <f t="shared" si="120"/>
        <v>0</v>
      </c>
      <c r="X113" s="52">
        <f t="shared" si="120"/>
        <v>0</v>
      </c>
      <c r="Y113" s="52">
        <f t="shared" si="120"/>
        <v>0</v>
      </c>
      <c r="Z113" s="52">
        <f t="shared" si="120"/>
        <v>0</v>
      </c>
      <c r="AA113" s="52">
        <f t="shared" si="120"/>
        <v>0</v>
      </c>
      <c r="AB113" s="52">
        <f t="shared" si="120"/>
        <v>0</v>
      </c>
      <c r="AC113" s="62">
        <f>SUM(T113:AB113)</f>
        <v>0</v>
      </c>
      <c r="AD113" s="41"/>
      <c r="AE113" s="2"/>
      <c r="AH113" s="2"/>
    </row>
    <row r="114" spans="1:35" x14ac:dyDescent="0.4">
      <c r="A114" s="54"/>
      <c r="B114" s="55"/>
      <c r="C114" s="55"/>
      <c r="D114" s="55"/>
      <c r="E114" s="55"/>
      <c r="F114" s="55"/>
      <c r="G114" s="43" t="s">
        <v>90</v>
      </c>
      <c r="H114" s="43">
        <f>IF($A$110="Front",VLOOKUP($Q114,'[1]Handicap Chart'!$B$4:$K$40,2),VLOOKUP($Q114,'[1]Handicap Chart'!$B$4:$K$40,10))</f>
        <v>1</v>
      </c>
      <c r="I114" s="43">
        <f>IF($A$110="Front",VLOOKUP($Q114,'[1]Handicap Chart'!$B$4:$K$40,4),VLOOKUP($Q114,'[1]Handicap Chart'!$B$4:$K$40,3))</f>
        <v>1</v>
      </c>
      <c r="J114" s="43">
        <f>IF($A$110="Front",VLOOKUP($Q114,'[1]Handicap Chart'!$B$4:$K$40,8),VLOOKUP($Q114,'[1]Handicap Chart'!$B$4:$K$40,6))</f>
        <v>1</v>
      </c>
      <c r="K114" s="43">
        <f>IF($A$110="Front",VLOOKUP($Q114,'[1]Handicap Chart'!$B$4:$K$40,9),VLOOKUP($Q114,'[1]Handicap Chart'!$B$4:$K$40,5))</f>
        <v>1</v>
      </c>
      <c r="L114" s="43">
        <f>IF($A$110="Front",VLOOKUP($Q114,'[1]Handicap Chart'!$B$4:$K$40,5),VLOOKUP($Q114,'[1]Handicap Chart'!$B$4:$K$40,4))</f>
        <v>1</v>
      </c>
      <c r="M114" s="43">
        <f>IF($A$110="Front",VLOOKUP($Q114,'[1]Handicap Chart'!$B$4:$K$40,10),VLOOKUP($Q114,'[1]Handicap Chart'!$B$4:$K$40,9))</f>
        <v>1</v>
      </c>
      <c r="N114" s="43">
        <f>IF($A$110="Front",VLOOKUP($Q114,'[1]Handicap Chart'!$B$4:$K$40,3),VLOOKUP($Q114,'[1]Handicap Chart'!$B$4:$K$40,7))</f>
        <v>1</v>
      </c>
      <c r="O114" s="43">
        <f>IF($A$110="Front",VLOOKUP($Q114,'[1]Handicap Chart'!$B$4:$K$40,7),VLOOKUP($Q114,'[1]Handicap Chart'!$B$4:$K$40,8))</f>
        <v>1</v>
      </c>
      <c r="P114" s="43">
        <f>IF($A$110="Front",VLOOKUP($Q114,'[1]Handicap Chart'!$B$4:$K$40,6),VLOOKUP($Q114,'[1]Handicap Chart'!$B$4:$K$40,2))</f>
        <v>1</v>
      </c>
      <c r="Q114" s="56">
        <f>VLOOKUP($C113,[1]Summary!$A$4:$BL$39,50, FALSE)</f>
        <v>9</v>
      </c>
      <c r="S114" s="72" t="s">
        <v>91</v>
      </c>
      <c r="T114" s="72">
        <f>IF(OR(EXACT($E113,"Y"),(EXACT($F113,"Y"))),"-",IF(H115-T115&gt;1,-1,IF(H115-T115=0,1,IF(H115-T115=-1,3,IF(H115-T115=-2,4,IF(H115-T115=-3,5,0))))))</f>
        <v>0</v>
      </c>
      <c r="U114" s="72">
        <f t="shared" ref="U114:AB114" si="121">IF(OR(EXACT($E113,"Y"),(EXACT($F113,"Y"))),"-",IF(I115-U115&gt;1,-1,IF(I115-U115=0,1,IF(I115-U115=-1,3,IF(I115-U115=-2,4,IF(I115-U115=-3,5,0))))))</f>
        <v>0</v>
      </c>
      <c r="V114" s="72">
        <f t="shared" si="121"/>
        <v>0</v>
      </c>
      <c r="W114" s="72">
        <f t="shared" si="121"/>
        <v>0</v>
      </c>
      <c r="X114" s="72">
        <f t="shared" si="121"/>
        <v>0</v>
      </c>
      <c r="Y114" s="72">
        <f t="shared" si="121"/>
        <v>0</v>
      </c>
      <c r="Z114" s="72">
        <f t="shared" si="121"/>
        <v>0</v>
      </c>
      <c r="AA114" s="72">
        <f t="shared" si="121"/>
        <v>0</v>
      </c>
      <c r="AB114" s="72">
        <f t="shared" si="121"/>
        <v>0</v>
      </c>
      <c r="AC114" s="71">
        <f>IF(EXACT(E113,"Y"),6,IF(EXACT(F113,"Y"),2,SUM(T114:AB114)))</f>
        <v>0</v>
      </c>
      <c r="AD114" s="41"/>
      <c r="AE114" s="2"/>
      <c r="AH114" s="2"/>
    </row>
    <row r="115" spans="1:35" x14ac:dyDescent="0.4">
      <c r="A115" s="54"/>
      <c r="B115" s="55"/>
      <c r="C115" s="55"/>
      <c r="D115" s="55"/>
      <c r="E115" s="55"/>
      <c r="F115" s="55"/>
      <c r="G115" s="60" t="s">
        <v>92</v>
      </c>
      <c r="H115" s="61">
        <f t="shared" ref="H115:P115" si="122">IF(OR(EXACT($E113,"Y"),(EXACT($F113,"Y"))),"-",H113-H114)</f>
        <v>-1</v>
      </c>
      <c r="I115" s="61">
        <f t="shared" si="122"/>
        <v>-1</v>
      </c>
      <c r="J115" s="61">
        <f t="shared" si="122"/>
        <v>-1</v>
      </c>
      <c r="K115" s="61">
        <f t="shared" si="122"/>
        <v>-1</v>
      </c>
      <c r="L115" s="61">
        <f t="shared" si="122"/>
        <v>-1</v>
      </c>
      <c r="M115" s="61">
        <f t="shared" si="122"/>
        <v>-1</v>
      </c>
      <c r="N115" s="61">
        <f t="shared" si="122"/>
        <v>-1</v>
      </c>
      <c r="O115" s="61">
        <f t="shared" si="122"/>
        <v>-1</v>
      </c>
      <c r="P115" s="61">
        <f t="shared" si="122"/>
        <v>-1</v>
      </c>
      <c r="Q115" s="62">
        <f>SUM(H115:P115)</f>
        <v>-9</v>
      </c>
      <c r="S115" s="63" t="str">
        <f>$A$110</f>
        <v>Front</v>
      </c>
      <c r="T115" s="43">
        <f t="shared" ref="T115:AB115" si="123">IF($A$110="Front",T$1,T$2)</f>
        <v>4</v>
      </c>
      <c r="U115" s="43">
        <f t="shared" si="123"/>
        <v>3</v>
      </c>
      <c r="V115" s="43">
        <f t="shared" si="123"/>
        <v>4</v>
      </c>
      <c r="W115" s="43">
        <f t="shared" si="123"/>
        <v>5</v>
      </c>
      <c r="X115" s="43">
        <f t="shared" si="123"/>
        <v>4</v>
      </c>
      <c r="Y115" s="43">
        <f t="shared" si="123"/>
        <v>3</v>
      </c>
      <c r="Z115" s="43">
        <f t="shared" si="123"/>
        <v>4</v>
      </c>
      <c r="AA115" s="43">
        <f t="shared" si="123"/>
        <v>5</v>
      </c>
      <c r="AB115" s="43">
        <f t="shared" si="123"/>
        <v>4</v>
      </c>
      <c r="AC115" s="56">
        <f>SUM(T115:AB115)</f>
        <v>36</v>
      </c>
      <c r="AD115" s="41"/>
      <c r="AE115" s="2"/>
      <c r="AH115" s="2"/>
    </row>
    <row r="116" spans="1:35" x14ac:dyDescent="0.4">
      <c r="A116" s="64" t="s">
        <v>101</v>
      </c>
      <c r="B116" s="69">
        <v>3</v>
      </c>
      <c r="C116" s="70">
        <v>5</v>
      </c>
      <c r="D116" s="69" t="str">
        <f>VLOOKUP($C116,[1]Summary!$A$4:$BL$39,4, FALSE)</f>
        <v>Baz Mistry</v>
      </c>
      <c r="E116" s="70"/>
      <c r="F116" s="70"/>
      <c r="G116" s="69" t="s">
        <v>88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f>SUM(H116:P116)</f>
        <v>0</v>
      </c>
      <c r="S116" s="66" t="s">
        <v>89</v>
      </c>
      <c r="T116" s="52">
        <f t="shared" ref="T116:AB116" si="124">IF(H116&gt;=T118+H117+2,SUM(T118+H117+2),H116)</f>
        <v>0</v>
      </c>
      <c r="U116" s="52">
        <f t="shared" si="124"/>
        <v>0</v>
      </c>
      <c r="V116" s="52">
        <f t="shared" si="124"/>
        <v>0</v>
      </c>
      <c r="W116" s="52">
        <f t="shared" si="124"/>
        <v>0</v>
      </c>
      <c r="X116" s="52">
        <f t="shared" si="124"/>
        <v>0</v>
      </c>
      <c r="Y116" s="52">
        <f t="shared" si="124"/>
        <v>0</v>
      </c>
      <c r="Z116" s="52">
        <f t="shared" si="124"/>
        <v>0</v>
      </c>
      <c r="AA116" s="52">
        <f t="shared" si="124"/>
        <v>0</v>
      </c>
      <c r="AB116" s="52">
        <f t="shared" si="124"/>
        <v>0</v>
      </c>
      <c r="AC116" s="62">
        <f>SUM(T116:AB116)</f>
        <v>0</v>
      </c>
      <c r="AD116" s="41"/>
      <c r="AE116" s="2"/>
      <c r="AH116" s="2"/>
    </row>
    <row r="117" spans="1:35" ht="15" thickBot="1" x14ac:dyDescent="0.45">
      <c r="A117" s="54"/>
      <c r="B117" s="55"/>
      <c r="C117" s="55"/>
      <c r="D117" s="55"/>
      <c r="E117" s="55"/>
      <c r="F117" s="55"/>
      <c r="G117" s="43" t="s">
        <v>90</v>
      </c>
      <c r="H117" s="43">
        <f>IF($A$110="Front",VLOOKUP($Q117,'[1]Handicap Chart'!$B$4:$K$40,2),VLOOKUP($Q117,'[1]Handicap Chart'!$B$4:$K$40,10))</f>
        <v>1</v>
      </c>
      <c r="I117" s="43">
        <f>IF($A$110="Front",VLOOKUP($Q117,'[1]Handicap Chart'!$B$4:$K$40,4),VLOOKUP($Q117,'[1]Handicap Chart'!$B$4:$K$40,3))</f>
        <v>1</v>
      </c>
      <c r="J117" s="43">
        <f>IF($A$110="Front",VLOOKUP($Q117,'[1]Handicap Chart'!$B$4:$K$40,8),VLOOKUP($Q117,'[1]Handicap Chart'!$B$4:$K$40,6))</f>
        <v>1</v>
      </c>
      <c r="K117" s="43">
        <f>IF($A$110="Front",VLOOKUP($Q117,'[1]Handicap Chart'!$B$4:$K$40,9),VLOOKUP($Q117,'[1]Handicap Chart'!$B$4:$K$40,5))</f>
        <v>1</v>
      </c>
      <c r="L117" s="43">
        <f>IF($A$110="Front",VLOOKUP($Q117,'[1]Handicap Chart'!$B$4:$K$40,5),VLOOKUP($Q117,'[1]Handicap Chart'!$B$4:$K$40,4))</f>
        <v>1</v>
      </c>
      <c r="M117" s="43">
        <f>IF($A$110="Front",VLOOKUP($Q117,'[1]Handicap Chart'!$B$4:$K$40,10),VLOOKUP($Q117,'[1]Handicap Chart'!$B$4:$K$40,9))</f>
        <v>0</v>
      </c>
      <c r="N117" s="43">
        <f>IF($A$110="Front",VLOOKUP($Q117,'[1]Handicap Chart'!$B$4:$K$40,3),VLOOKUP($Q117,'[1]Handicap Chart'!$B$4:$K$40,7))</f>
        <v>1</v>
      </c>
      <c r="O117" s="43">
        <f>IF($A$110="Front",VLOOKUP($Q117,'[1]Handicap Chart'!$B$4:$K$40,7),VLOOKUP($Q117,'[1]Handicap Chart'!$B$4:$K$40,8))</f>
        <v>1</v>
      </c>
      <c r="P117" s="43">
        <f>IF($A$110="Front",VLOOKUP($Q117,'[1]Handicap Chart'!$B$4:$K$40,6),VLOOKUP($Q117,'[1]Handicap Chart'!$B$4:$K$40,2))</f>
        <v>1</v>
      </c>
      <c r="Q117" s="56">
        <f>VLOOKUP($C116,[1]Summary!$A$4:$BL$39,50, FALSE)</f>
        <v>8</v>
      </c>
      <c r="S117" s="72" t="s">
        <v>91</v>
      </c>
      <c r="T117" s="72">
        <f>IF(OR(EXACT($E116,"Y"),(EXACT($F116,"Y"))),"-",IF(H118-T118&gt;1,-1,IF(H118-T118=0,1,IF(H118-T118=-1,3,IF(H118-T118=-2,4,IF(H118-T118=-3,5,0))))))</f>
        <v>0</v>
      </c>
      <c r="U117" s="72">
        <f t="shared" ref="U117:AB117" si="125">IF(OR(EXACT($E116,"Y"),(EXACT($F116,"Y"))),"-",IF(I118-U118&gt;1,-1,IF(I118-U118=0,1,IF(I118-U118=-1,3,IF(I118-U118=-2,4,IF(I118-U118=-3,5,0))))))</f>
        <v>0</v>
      </c>
      <c r="V117" s="72">
        <f t="shared" si="125"/>
        <v>0</v>
      </c>
      <c r="W117" s="72">
        <f t="shared" si="125"/>
        <v>0</v>
      </c>
      <c r="X117" s="72">
        <f t="shared" si="125"/>
        <v>0</v>
      </c>
      <c r="Y117" s="72">
        <f t="shared" si="125"/>
        <v>5</v>
      </c>
      <c r="Z117" s="72">
        <f t="shared" si="125"/>
        <v>0</v>
      </c>
      <c r="AA117" s="72">
        <f t="shared" si="125"/>
        <v>0</v>
      </c>
      <c r="AB117" s="72">
        <f t="shared" si="125"/>
        <v>0</v>
      </c>
      <c r="AC117" s="71">
        <f>IF(EXACT(E116,"Y"),6,IF(EXACT(F116,"Y"),2,SUM(T117:AB117)))</f>
        <v>5</v>
      </c>
      <c r="AD117" s="41"/>
      <c r="AE117" s="2"/>
      <c r="AH117" s="2"/>
    </row>
    <row r="118" spans="1:35" ht="15" thickBot="1" x14ac:dyDescent="0.45">
      <c r="A118" s="73"/>
      <c r="B118" s="74"/>
      <c r="C118" s="74"/>
      <c r="D118" s="74"/>
      <c r="E118" s="74"/>
      <c r="F118" s="74"/>
      <c r="G118" s="75" t="s">
        <v>92</v>
      </c>
      <c r="H118" s="61">
        <f t="shared" ref="H118:P118" si="126">IF(OR(EXACT($E116,"Y"),(EXACT($F116,"Y"))),"-",H116-H117)</f>
        <v>-1</v>
      </c>
      <c r="I118" s="61">
        <f t="shared" si="126"/>
        <v>-1</v>
      </c>
      <c r="J118" s="61">
        <f t="shared" si="126"/>
        <v>-1</v>
      </c>
      <c r="K118" s="61">
        <f t="shared" si="126"/>
        <v>-1</v>
      </c>
      <c r="L118" s="61">
        <f t="shared" si="126"/>
        <v>-1</v>
      </c>
      <c r="M118" s="61">
        <f t="shared" si="126"/>
        <v>0</v>
      </c>
      <c r="N118" s="61">
        <f t="shared" si="126"/>
        <v>-1</v>
      </c>
      <c r="O118" s="61">
        <f t="shared" si="126"/>
        <v>-1</v>
      </c>
      <c r="P118" s="61">
        <f t="shared" si="126"/>
        <v>-1</v>
      </c>
      <c r="Q118" s="76">
        <f>SUM(H118:P118)</f>
        <v>-8</v>
      </c>
      <c r="S118" s="63" t="str">
        <f>$A$110</f>
        <v>Front</v>
      </c>
      <c r="T118" s="43">
        <f t="shared" ref="T118:AB118" si="127">IF($A$110="Front",T$1,T$2)</f>
        <v>4</v>
      </c>
      <c r="U118" s="43">
        <f t="shared" si="127"/>
        <v>3</v>
      </c>
      <c r="V118" s="43">
        <f t="shared" si="127"/>
        <v>4</v>
      </c>
      <c r="W118" s="43">
        <f t="shared" si="127"/>
        <v>5</v>
      </c>
      <c r="X118" s="43">
        <f t="shared" si="127"/>
        <v>4</v>
      </c>
      <c r="Y118" s="43">
        <f t="shared" si="127"/>
        <v>3</v>
      </c>
      <c r="Z118" s="43">
        <f t="shared" si="127"/>
        <v>4</v>
      </c>
      <c r="AA118" s="43">
        <f t="shared" si="127"/>
        <v>5</v>
      </c>
      <c r="AB118" s="43">
        <f t="shared" si="127"/>
        <v>4</v>
      </c>
      <c r="AC118" s="78">
        <f>SUM(T118:AB118)</f>
        <v>36</v>
      </c>
      <c r="AD118" s="41">
        <f>B113</f>
        <v>3</v>
      </c>
      <c r="AE118" s="79">
        <f>AC114+AC117</f>
        <v>5</v>
      </c>
      <c r="AF118" s="79">
        <f>IF(AC114&gt;=AC108,IF(AC114&gt;AC108,IF(AC117&gt;=AC111,IF(AC117&gt;AC111,4,3),2),IF(AC117&gt;=AC111,IF(AC117&gt;AC111,3,2),IF(AC117&gt;=AC111,IF(AC117&gt;AC111,2,1),1))),IF(AC117&gt;=AC111,IF(AC117&gt;AC111,2,1),0))</f>
        <v>2</v>
      </c>
      <c r="AG118" s="79">
        <f>IF(AE118&gt;AE112,4,IF(AE118=AE112,2,0))</f>
        <v>0</v>
      </c>
      <c r="AH118" s="80">
        <v>8</v>
      </c>
      <c r="AI118" s="80">
        <f>SUM(AF118:AH118)</f>
        <v>10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45">
      <c r="A120" s="43" t="s">
        <v>81</v>
      </c>
      <c r="B120" s="43" t="s">
        <v>0</v>
      </c>
      <c r="C120" s="43" t="s">
        <v>6</v>
      </c>
      <c r="D120" s="43" t="s">
        <v>83</v>
      </c>
      <c r="E120" s="43" t="s">
        <v>84</v>
      </c>
      <c r="F120" s="43" t="s">
        <v>85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86</v>
      </c>
      <c r="S120" s="44" t="s">
        <v>87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4">
      <c r="A121" s="47">
        <v>2</v>
      </c>
      <c r="B121" s="48">
        <v>8</v>
      </c>
      <c r="C121" s="49">
        <v>16</v>
      </c>
      <c r="D121" s="48" t="str">
        <f>VLOOKUP($C121,[1]Summary!$A$4:$BL$39,4, FALSE)</f>
        <v>Dennis Huston</v>
      </c>
      <c r="E121" s="49"/>
      <c r="F121" s="49"/>
      <c r="G121" s="48" t="s">
        <v>88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f>SUM(H121:P121)</f>
        <v>0</v>
      </c>
      <c r="S121" s="51" t="s">
        <v>89</v>
      </c>
      <c r="T121" s="52">
        <f t="shared" ref="T121:AB121" si="128">IF(H121&gt;=T123+H122+2,SUM(T123+H122+2),H121)</f>
        <v>0</v>
      </c>
      <c r="U121" s="52">
        <f t="shared" si="128"/>
        <v>0</v>
      </c>
      <c r="V121" s="52">
        <f t="shared" si="128"/>
        <v>0</v>
      </c>
      <c r="W121" s="52">
        <f t="shared" si="128"/>
        <v>0</v>
      </c>
      <c r="X121" s="52">
        <f t="shared" si="128"/>
        <v>0</v>
      </c>
      <c r="Y121" s="52">
        <f t="shared" si="128"/>
        <v>0</v>
      </c>
      <c r="Z121" s="52">
        <f t="shared" si="128"/>
        <v>0</v>
      </c>
      <c r="AA121" s="52">
        <f t="shared" si="128"/>
        <v>0</v>
      </c>
      <c r="AB121" s="52">
        <f t="shared" si="128"/>
        <v>0</v>
      </c>
      <c r="AC121" s="53">
        <f>SUM(T121:AB121)</f>
        <v>0</v>
      </c>
      <c r="AD121" s="41"/>
      <c r="AE121" s="2"/>
      <c r="AH121" s="2"/>
    </row>
    <row r="122" spans="1:35" x14ac:dyDescent="0.4">
      <c r="A122" s="54"/>
      <c r="B122" s="55"/>
      <c r="C122" s="55"/>
      <c r="D122" s="55"/>
      <c r="E122" s="55"/>
      <c r="F122" s="55"/>
      <c r="G122" s="43" t="s">
        <v>90</v>
      </c>
      <c r="H122" s="43">
        <f>IF($A$124="Front",VLOOKUP($Q122,'[1]Handicap Chart'!$B$4:$K$40,2),VLOOKUP($Q122,'[1]Handicap Chart'!$B$4:$K$40,10))</f>
        <v>1</v>
      </c>
      <c r="I122" s="43">
        <f>IF($A$124="Front",VLOOKUP($Q122,'[1]Handicap Chart'!$B$4:$K$40,4),VLOOKUP($Q122,'[1]Handicap Chart'!$B$4:$K$40,3))</f>
        <v>1</v>
      </c>
      <c r="J122" s="43">
        <f>IF($A$124="Front",VLOOKUP($Q122,'[1]Handicap Chart'!$B$4:$K$40,8),VLOOKUP($Q122,'[1]Handicap Chart'!$B$4:$K$40,6))</f>
        <v>1</v>
      </c>
      <c r="K122" s="43">
        <f>IF($A$124="Front",VLOOKUP($Q122,'[1]Handicap Chart'!$B$4:$K$40,9),VLOOKUP($Q122,'[1]Handicap Chart'!$B$4:$K$40,5))</f>
        <v>1</v>
      </c>
      <c r="L122" s="43">
        <f>IF($A$124="Front",VLOOKUP($Q122,'[1]Handicap Chart'!$B$4:$K$40,5),VLOOKUP($Q122,'[1]Handicap Chart'!$B$4:$K$40,4))</f>
        <v>1</v>
      </c>
      <c r="M122" s="43">
        <f>IF($A$124="Front",VLOOKUP($Q122,'[1]Handicap Chart'!$B$4:$K$40,10),VLOOKUP($Q122,'[1]Handicap Chart'!$B$4:$K$40,9))</f>
        <v>1</v>
      </c>
      <c r="N122" s="43">
        <f>IF($A$124="Front",VLOOKUP($Q122,'[1]Handicap Chart'!$B$4:$K$40,3),VLOOKUP($Q122,'[1]Handicap Chart'!$B$4:$K$40,7))</f>
        <v>1</v>
      </c>
      <c r="O122" s="43">
        <f>IF($A$124="Front",VLOOKUP($Q122,'[1]Handicap Chart'!$B$4:$K$40,7),VLOOKUP($Q122,'[1]Handicap Chart'!$B$4:$K$40,8))</f>
        <v>1</v>
      </c>
      <c r="P122" s="43">
        <f>IF($A$124="Front",VLOOKUP($Q122,'[1]Handicap Chart'!$B$4:$K$40,6),VLOOKUP($Q122,'[1]Handicap Chart'!$B$4:$K$40,2))</f>
        <v>1</v>
      </c>
      <c r="Q122" s="56">
        <f>VLOOKUP($C121,[1]Summary!$A$4:$BL$39,50, FALSE)</f>
        <v>9</v>
      </c>
      <c r="S122" s="57" t="s">
        <v>91</v>
      </c>
      <c r="T122" s="58">
        <f>IF(OR(EXACT($E121,"Y"),(EXACT($F121,"Y"))),"-",IF(H123-T123&gt;1,-1,IF(H123-T123=0,1,IF(H123-T123=-1,3,IF(H123-T123=-2,4,IF(H123-T123=-3,5,0))))))</f>
        <v>0</v>
      </c>
      <c r="U122" s="58">
        <f t="shared" ref="U122:AB122" si="129">IF(OR(EXACT($E121,"Y"),(EXACT($F121,"Y"))),"-",IF(I123-U123&gt;1,-1,IF(I123-U123=0,1,IF(I123-U123=-1,3,IF(I123-U123=-2,4,IF(I123-U123=-3,5,0))))))</f>
        <v>0</v>
      </c>
      <c r="V122" s="58">
        <f t="shared" si="129"/>
        <v>0</v>
      </c>
      <c r="W122" s="58">
        <f t="shared" si="129"/>
        <v>0</v>
      </c>
      <c r="X122" s="58">
        <f t="shared" si="129"/>
        <v>0</v>
      </c>
      <c r="Y122" s="58">
        <f t="shared" si="129"/>
        <v>0</v>
      </c>
      <c r="Z122" s="58">
        <f t="shared" si="129"/>
        <v>0</v>
      </c>
      <c r="AA122" s="58">
        <f t="shared" si="129"/>
        <v>0</v>
      </c>
      <c r="AB122" s="58">
        <f t="shared" si="129"/>
        <v>0</v>
      </c>
      <c r="AC122" s="59">
        <f>IF(EXACT(E121,"Y"),6,IF(EXACT(F121,"Y"),2,SUM(T122:AB122)))</f>
        <v>0</v>
      </c>
      <c r="AD122" s="41"/>
      <c r="AE122" s="2"/>
      <c r="AH122" s="2"/>
    </row>
    <row r="123" spans="1:35" ht="15" thickBot="1" x14ac:dyDescent="0.45">
      <c r="A123" s="54"/>
      <c r="B123" s="55"/>
      <c r="C123" s="55"/>
      <c r="D123" s="55"/>
      <c r="E123" s="55"/>
      <c r="F123" s="55"/>
      <c r="G123" s="60" t="s">
        <v>92</v>
      </c>
      <c r="H123" s="61">
        <f t="shared" ref="H123:P123" si="130">IF(OR(EXACT($E121,"Y"),(EXACT($F121,"Y"))),"-",H121-H122)</f>
        <v>-1</v>
      </c>
      <c r="I123" s="61">
        <f t="shared" si="130"/>
        <v>-1</v>
      </c>
      <c r="J123" s="61">
        <f t="shared" si="130"/>
        <v>-1</v>
      </c>
      <c r="K123" s="61">
        <f t="shared" si="130"/>
        <v>-1</v>
      </c>
      <c r="L123" s="61">
        <f t="shared" si="130"/>
        <v>-1</v>
      </c>
      <c r="M123" s="61">
        <f t="shared" si="130"/>
        <v>-1</v>
      </c>
      <c r="N123" s="61">
        <f t="shared" si="130"/>
        <v>-1</v>
      </c>
      <c r="O123" s="61">
        <f t="shared" si="130"/>
        <v>-1</v>
      </c>
      <c r="P123" s="61">
        <f t="shared" si="130"/>
        <v>-1</v>
      </c>
      <c r="Q123" s="62">
        <f>SUM(H123:P123)</f>
        <v>-9</v>
      </c>
      <c r="S123" s="63" t="str">
        <f>$A$124</f>
        <v>Front</v>
      </c>
      <c r="T123" s="43">
        <f>IF($A$124="Front",T$1,T$2)</f>
        <v>4</v>
      </c>
      <c r="U123" s="43">
        <f t="shared" ref="U123:AB123" si="131">IF($A$124="Front",U$1,U$2)</f>
        <v>3</v>
      </c>
      <c r="V123" s="43">
        <f t="shared" si="131"/>
        <v>4</v>
      </c>
      <c r="W123" s="43">
        <f t="shared" si="131"/>
        <v>5</v>
      </c>
      <c r="X123" s="43">
        <f t="shared" si="131"/>
        <v>4</v>
      </c>
      <c r="Y123" s="43">
        <f t="shared" si="131"/>
        <v>3</v>
      </c>
      <c r="Z123" s="43">
        <f t="shared" si="131"/>
        <v>4</v>
      </c>
      <c r="AA123" s="43">
        <f t="shared" si="131"/>
        <v>5</v>
      </c>
      <c r="AB123" s="43">
        <f t="shared" si="131"/>
        <v>4</v>
      </c>
      <c r="AC123" s="56">
        <f>SUM(T123:AB123)</f>
        <v>36</v>
      </c>
      <c r="AD123" s="41"/>
      <c r="AE123" s="2"/>
      <c r="AH123" s="2"/>
    </row>
    <row r="124" spans="1:35" x14ac:dyDescent="0.4">
      <c r="A124" s="64" t="s">
        <v>73</v>
      </c>
      <c r="B124" s="58">
        <v>8</v>
      </c>
      <c r="C124" s="65">
        <v>15</v>
      </c>
      <c r="D124" s="48" t="str">
        <f>VLOOKUP($C124,[1]Summary!$A$4:$BL$39,4, FALSE)</f>
        <v>Bob Saenz</v>
      </c>
      <c r="E124" s="65"/>
      <c r="F124" s="65"/>
      <c r="G124" s="58" t="s">
        <v>88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f>SUM(H124:P124)</f>
        <v>0</v>
      </c>
      <c r="S124" s="66" t="s">
        <v>89</v>
      </c>
      <c r="T124" s="52">
        <f t="shared" ref="T124:AB124" si="132">IF(H124&gt;=T126+H125+2,SUM(T126+H125+2),H124)</f>
        <v>0</v>
      </c>
      <c r="U124" s="52">
        <f t="shared" si="132"/>
        <v>0</v>
      </c>
      <c r="V124" s="52">
        <f t="shared" si="132"/>
        <v>0</v>
      </c>
      <c r="W124" s="52">
        <f t="shared" si="132"/>
        <v>0</v>
      </c>
      <c r="X124" s="52">
        <f t="shared" si="132"/>
        <v>0</v>
      </c>
      <c r="Y124" s="52">
        <f t="shared" si="132"/>
        <v>0</v>
      </c>
      <c r="Z124" s="52">
        <f t="shared" si="132"/>
        <v>0</v>
      </c>
      <c r="AA124" s="52">
        <f t="shared" si="132"/>
        <v>0</v>
      </c>
      <c r="AB124" s="52">
        <f t="shared" si="132"/>
        <v>0</v>
      </c>
      <c r="AC124" s="62">
        <f>SUM(T124:AB124)</f>
        <v>0</v>
      </c>
      <c r="AD124" s="41"/>
      <c r="AE124" s="2"/>
      <c r="AH124" s="2"/>
    </row>
    <row r="125" spans="1:35" ht="15" thickBot="1" x14ac:dyDescent="0.45">
      <c r="A125" s="54"/>
      <c r="B125" s="55"/>
      <c r="C125" s="55"/>
      <c r="D125" s="55"/>
      <c r="E125" s="55"/>
      <c r="F125" s="55"/>
      <c r="G125" s="43" t="s">
        <v>90</v>
      </c>
      <c r="H125" s="43">
        <f>IF($A$124="Front",VLOOKUP($Q125,'[1]Handicap Chart'!$B$4:$K$40,2),VLOOKUP($Q125,'[1]Handicap Chart'!$B$4:$K$40,10))</f>
        <v>1</v>
      </c>
      <c r="I125" s="43">
        <f>IF($A$124="Front",VLOOKUP($Q125,'[1]Handicap Chart'!$B$4:$K$40,4),VLOOKUP($Q125,'[1]Handicap Chart'!$B$4:$K$40,3))</f>
        <v>1</v>
      </c>
      <c r="J125" s="43">
        <f>IF($A$124="Front",VLOOKUP($Q125,'[1]Handicap Chart'!$B$4:$K$40,8),VLOOKUP($Q125,'[1]Handicap Chart'!$B$4:$K$40,6))</f>
        <v>1</v>
      </c>
      <c r="K125" s="43">
        <f>IF($A$124="Front",VLOOKUP($Q125,'[1]Handicap Chart'!$B$4:$K$40,9),VLOOKUP($Q125,'[1]Handicap Chart'!$B$4:$K$40,5))</f>
        <v>1</v>
      </c>
      <c r="L125" s="43">
        <f>IF($A$124="Front",VLOOKUP($Q125,'[1]Handicap Chart'!$B$4:$K$40,5),VLOOKUP($Q125,'[1]Handicap Chart'!$B$4:$K$40,4))</f>
        <v>1</v>
      </c>
      <c r="M125" s="43">
        <f>IF($A$124="Front",VLOOKUP($Q125,'[1]Handicap Chart'!$B$4:$K$40,10),VLOOKUP($Q125,'[1]Handicap Chart'!$B$4:$K$40,9))</f>
        <v>1</v>
      </c>
      <c r="N125" s="43">
        <f>IF($A$124="Front",VLOOKUP($Q125,'[1]Handicap Chart'!$B$4:$K$40,3),VLOOKUP($Q125,'[1]Handicap Chart'!$B$4:$K$40,7))</f>
        <v>1</v>
      </c>
      <c r="O125" s="43">
        <f>IF($A$124="Front",VLOOKUP($Q125,'[1]Handicap Chart'!$B$4:$K$40,7),VLOOKUP($Q125,'[1]Handicap Chart'!$B$4:$K$40,8))</f>
        <v>1</v>
      </c>
      <c r="P125" s="43">
        <f>IF($A$124="Front",VLOOKUP($Q125,'[1]Handicap Chart'!$B$4:$K$40,6),VLOOKUP($Q125,'[1]Handicap Chart'!$B$4:$K$40,2))</f>
        <v>1</v>
      </c>
      <c r="Q125" s="56">
        <f>VLOOKUP($C124,[1]Summary!$A$4:$BL$39,50, FALSE)</f>
        <v>9</v>
      </c>
      <c r="S125" s="57" t="s">
        <v>91</v>
      </c>
      <c r="T125" s="58">
        <f>IF(OR(EXACT($E124,"Y"),(EXACT($F124,"Y"))),"-",IF(H126-T126&gt;1,-1,IF(H126-T126=0,1,IF(H126-T126=-1,3,IF(H126-T126=-2,4,IF(H126-T126=-3,5,0))))))</f>
        <v>0</v>
      </c>
      <c r="U125" s="58">
        <f t="shared" ref="U125:AB125" si="133">IF(OR(EXACT($E124,"Y"),(EXACT($F124,"Y"))),"-",IF(I126-U126&gt;1,-1,IF(I126-U126=0,1,IF(I126-U126=-1,3,IF(I126-U126=-2,4,IF(I126-U126=-3,5,0))))))</f>
        <v>0</v>
      </c>
      <c r="V125" s="58">
        <f t="shared" si="133"/>
        <v>0</v>
      </c>
      <c r="W125" s="58">
        <f t="shared" si="133"/>
        <v>0</v>
      </c>
      <c r="X125" s="58">
        <f t="shared" si="133"/>
        <v>0</v>
      </c>
      <c r="Y125" s="58">
        <f t="shared" si="133"/>
        <v>0</v>
      </c>
      <c r="Z125" s="58">
        <f t="shared" si="133"/>
        <v>0</v>
      </c>
      <c r="AA125" s="58">
        <f t="shared" si="133"/>
        <v>0</v>
      </c>
      <c r="AB125" s="58">
        <f t="shared" si="133"/>
        <v>0</v>
      </c>
      <c r="AC125" s="59">
        <f>IF(EXACT(E124,"Y"),6,IF(EXACT(F124,"Y"),2,SUM(T125:AB125)))</f>
        <v>0</v>
      </c>
      <c r="AD125" s="41"/>
      <c r="AE125" s="2"/>
      <c r="AH125" s="2"/>
    </row>
    <row r="126" spans="1:35" ht="15" thickBot="1" x14ac:dyDescent="0.45">
      <c r="A126" s="54"/>
      <c r="B126" s="55"/>
      <c r="C126" s="55"/>
      <c r="D126" s="55"/>
      <c r="E126" s="55"/>
      <c r="F126" s="55"/>
      <c r="G126" s="60" t="s">
        <v>92</v>
      </c>
      <c r="H126" s="61">
        <f t="shared" ref="H126:P126" si="134">IF(OR(EXACT($E124,"Y"),(EXACT($F124,"Y"))),"-",H124-H125)</f>
        <v>-1</v>
      </c>
      <c r="I126" s="61">
        <f t="shared" si="134"/>
        <v>-1</v>
      </c>
      <c r="J126" s="61">
        <f t="shared" si="134"/>
        <v>-1</v>
      </c>
      <c r="K126" s="61">
        <f t="shared" si="134"/>
        <v>-1</v>
      </c>
      <c r="L126" s="61">
        <f t="shared" si="134"/>
        <v>-1</v>
      </c>
      <c r="M126" s="61">
        <f t="shared" si="134"/>
        <v>-1</v>
      </c>
      <c r="N126" s="61">
        <f t="shared" si="134"/>
        <v>-1</v>
      </c>
      <c r="O126" s="61">
        <f t="shared" si="134"/>
        <v>-1</v>
      </c>
      <c r="P126" s="61">
        <f t="shared" si="134"/>
        <v>-1</v>
      </c>
      <c r="Q126" s="62">
        <f>SUM(H126:P126)</f>
        <v>-9</v>
      </c>
      <c r="S126" s="63" t="str">
        <f>$A$124</f>
        <v>Front</v>
      </c>
      <c r="T126" s="43">
        <f t="shared" ref="T126:AB126" si="135">IF($A$124="Front",T$1,T$2)</f>
        <v>4</v>
      </c>
      <c r="U126" s="43">
        <f t="shared" si="135"/>
        <v>3</v>
      </c>
      <c r="V126" s="43">
        <f t="shared" si="135"/>
        <v>4</v>
      </c>
      <c r="W126" s="43">
        <f t="shared" si="135"/>
        <v>5</v>
      </c>
      <c r="X126" s="43">
        <f t="shared" si="135"/>
        <v>4</v>
      </c>
      <c r="Y126" s="43">
        <f t="shared" si="135"/>
        <v>3</v>
      </c>
      <c r="Z126" s="43">
        <f t="shared" si="135"/>
        <v>4</v>
      </c>
      <c r="AA126" s="43">
        <f t="shared" si="135"/>
        <v>5</v>
      </c>
      <c r="AB126" s="43">
        <f t="shared" si="135"/>
        <v>4</v>
      </c>
      <c r="AC126" s="56">
        <f>SUM(T126:AB126)</f>
        <v>36</v>
      </c>
      <c r="AD126" s="41">
        <f>B121</f>
        <v>8</v>
      </c>
      <c r="AE126" s="81">
        <f>AC122+AC125</f>
        <v>0</v>
      </c>
      <c r="AF126" s="67">
        <f>IF(AC122&gt;=AC128,IF(AC122&gt;AC128,IF(AC125&gt;=AC131,IF(AC125&gt;AC131,4,3),2),IF(AC125&gt;=AC131,IF(AC125&gt;AC131,3,2),IF(AC125&gt;=AC131,IF(AC125&gt;AC131,2,1),1))),IF(AC125&gt;=AC131,IF(AC125&gt;AC131,2,1),0))</f>
        <v>0</v>
      </c>
      <c r="AG126" s="67">
        <f>IF(AE126&gt;AE132,4,IF(AE126=AE132,2,0))</f>
        <v>0</v>
      </c>
      <c r="AH126" s="68">
        <v>2</v>
      </c>
      <c r="AI126" s="68">
        <f>SUM(AF126:AH126)</f>
        <v>2</v>
      </c>
    </row>
    <row r="127" spans="1:35" x14ac:dyDescent="0.4">
      <c r="A127" s="64" t="s">
        <v>93</v>
      </c>
      <c r="B127" s="69">
        <v>1</v>
      </c>
      <c r="C127" s="70">
        <v>2</v>
      </c>
      <c r="D127" s="69" t="str">
        <f>VLOOKUP($C127,[1]Summary!$A$4:$BL$39,4, FALSE)</f>
        <v>Karl Dagg</v>
      </c>
      <c r="E127" s="70"/>
      <c r="F127" s="70"/>
      <c r="G127" s="69" t="s">
        <v>88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f>SUM(H127:P127)</f>
        <v>0</v>
      </c>
      <c r="S127" s="66" t="s">
        <v>89</v>
      </c>
      <c r="T127" s="52">
        <f t="shared" ref="T127:AB127" si="136">IF(H127&gt;=T129+H128+2,SUM(T129+H128+2),H127)</f>
        <v>0</v>
      </c>
      <c r="U127" s="52">
        <f t="shared" si="136"/>
        <v>0</v>
      </c>
      <c r="V127" s="52">
        <f t="shared" si="136"/>
        <v>0</v>
      </c>
      <c r="W127" s="52">
        <f t="shared" si="136"/>
        <v>0</v>
      </c>
      <c r="X127" s="52">
        <f t="shared" si="136"/>
        <v>0</v>
      </c>
      <c r="Y127" s="52">
        <f t="shared" si="136"/>
        <v>0</v>
      </c>
      <c r="Z127" s="52">
        <f t="shared" si="136"/>
        <v>0</v>
      </c>
      <c r="AA127" s="52">
        <f t="shared" si="136"/>
        <v>0</v>
      </c>
      <c r="AB127" s="52">
        <f t="shared" si="136"/>
        <v>0</v>
      </c>
      <c r="AC127" s="62">
        <f>SUM(T127:AB127)</f>
        <v>0</v>
      </c>
      <c r="AD127" s="41"/>
      <c r="AE127" s="2"/>
      <c r="AH127" s="2"/>
    </row>
    <row r="128" spans="1:35" x14ac:dyDescent="0.4">
      <c r="A128" s="54"/>
      <c r="B128" s="55"/>
      <c r="C128" s="55"/>
      <c r="D128" s="55"/>
      <c r="E128" s="55"/>
      <c r="F128" s="55"/>
      <c r="G128" s="43" t="s">
        <v>90</v>
      </c>
      <c r="H128" s="43">
        <f>IF($A$124="Front",VLOOKUP($Q128,'[1]Handicap Chart'!$B$4:$K$40,2),VLOOKUP($Q128,'[1]Handicap Chart'!$B$4:$K$40,10))</f>
        <v>1</v>
      </c>
      <c r="I128" s="43">
        <f>IF($A$124="Front",VLOOKUP($Q128,'[1]Handicap Chart'!$B$4:$K$40,4),VLOOKUP($Q128,'[1]Handicap Chart'!$B$4:$K$40,3))</f>
        <v>1</v>
      </c>
      <c r="J128" s="43">
        <f>IF($A$124="Front",VLOOKUP($Q128,'[1]Handicap Chart'!$B$4:$K$40,8),VLOOKUP($Q128,'[1]Handicap Chart'!$B$4:$K$40,6))</f>
        <v>0</v>
      </c>
      <c r="K128" s="43">
        <f>IF($A$124="Front",VLOOKUP($Q128,'[1]Handicap Chart'!$B$4:$K$40,9),VLOOKUP($Q128,'[1]Handicap Chart'!$B$4:$K$40,5))</f>
        <v>0</v>
      </c>
      <c r="L128" s="43">
        <f>IF($A$124="Front",VLOOKUP($Q128,'[1]Handicap Chart'!$B$4:$K$40,5),VLOOKUP($Q128,'[1]Handicap Chart'!$B$4:$K$40,4))</f>
        <v>1</v>
      </c>
      <c r="M128" s="43">
        <f>IF($A$124="Front",VLOOKUP($Q128,'[1]Handicap Chart'!$B$4:$K$40,10),VLOOKUP($Q128,'[1]Handicap Chart'!$B$4:$K$40,9))</f>
        <v>0</v>
      </c>
      <c r="N128" s="43">
        <f>IF($A$124="Front",VLOOKUP($Q128,'[1]Handicap Chart'!$B$4:$K$40,3),VLOOKUP($Q128,'[1]Handicap Chart'!$B$4:$K$40,7))</f>
        <v>1</v>
      </c>
      <c r="O128" s="43">
        <f>IF($A$124="Front",VLOOKUP($Q128,'[1]Handicap Chart'!$B$4:$K$40,7),VLOOKUP($Q128,'[1]Handicap Chart'!$B$4:$K$40,8))</f>
        <v>0</v>
      </c>
      <c r="P128" s="43">
        <f>IF($A$124="Front",VLOOKUP($Q128,'[1]Handicap Chart'!$B$4:$K$40,6),VLOOKUP($Q128,'[1]Handicap Chart'!$B$4:$K$40,2))</f>
        <v>1</v>
      </c>
      <c r="Q128" s="56">
        <f>VLOOKUP($C127,[1]Summary!$A$4:$BL$39,50, FALSE)</f>
        <v>5</v>
      </c>
      <c r="S128" s="72" t="s">
        <v>91</v>
      </c>
      <c r="T128" s="72">
        <f>IF(OR(EXACT($E127,"Y"),(EXACT($F127,"Y"))),"-",IF(H129-T129&gt;1,-1,IF(H129-T129=0,1,IF(H129-T129=-1,3,IF(H129-T129=-2,4,IF(H129-T129=-3,5,0))))))</f>
        <v>0</v>
      </c>
      <c r="U128" s="72">
        <f t="shared" ref="U128:AB128" si="137">IF(OR(EXACT($E127,"Y"),(EXACT($F127,"Y"))),"-",IF(I129-U129&gt;1,-1,IF(I129-U129=0,1,IF(I129-U129=-1,3,IF(I129-U129=-2,4,IF(I129-U129=-3,5,0))))))</f>
        <v>0</v>
      </c>
      <c r="V128" s="72">
        <f t="shared" si="137"/>
        <v>0</v>
      </c>
      <c r="W128" s="72">
        <f t="shared" si="137"/>
        <v>0</v>
      </c>
      <c r="X128" s="72">
        <f t="shared" si="137"/>
        <v>0</v>
      </c>
      <c r="Y128" s="72">
        <f t="shared" si="137"/>
        <v>5</v>
      </c>
      <c r="Z128" s="72">
        <f t="shared" si="137"/>
        <v>0</v>
      </c>
      <c r="AA128" s="72">
        <f t="shared" si="137"/>
        <v>0</v>
      </c>
      <c r="AB128" s="72">
        <f t="shared" si="137"/>
        <v>0</v>
      </c>
      <c r="AC128" s="71">
        <f>IF(EXACT(E127,"Y"),6,IF(EXACT(F127,"Y"),2,SUM(T128:AB128)))</f>
        <v>5</v>
      </c>
      <c r="AD128" s="41"/>
      <c r="AE128" s="2"/>
      <c r="AH128" s="2"/>
    </row>
    <row r="129" spans="1:35" x14ac:dyDescent="0.4">
      <c r="A129" s="54"/>
      <c r="B129" s="55"/>
      <c r="C129" s="55"/>
      <c r="D129" s="55"/>
      <c r="E129" s="55"/>
      <c r="F129" s="55"/>
      <c r="G129" s="60" t="s">
        <v>92</v>
      </c>
      <c r="H129" s="61">
        <f t="shared" ref="H129:P129" si="138">IF(OR(EXACT($E127,"Y"),(EXACT($F127,"Y"))),"-",H127-H128)</f>
        <v>-1</v>
      </c>
      <c r="I129" s="61">
        <f t="shared" si="138"/>
        <v>-1</v>
      </c>
      <c r="J129" s="61">
        <f t="shared" si="138"/>
        <v>0</v>
      </c>
      <c r="K129" s="61">
        <f t="shared" si="138"/>
        <v>0</v>
      </c>
      <c r="L129" s="61">
        <f t="shared" si="138"/>
        <v>-1</v>
      </c>
      <c r="M129" s="61">
        <f t="shared" si="138"/>
        <v>0</v>
      </c>
      <c r="N129" s="61">
        <f t="shared" si="138"/>
        <v>-1</v>
      </c>
      <c r="O129" s="61">
        <f t="shared" si="138"/>
        <v>0</v>
      </c>
      <c r="P129" s="61">
        <f t="shared" si="138"/>
        <v>-1</v>
      </c>
      <c r="Q129" s="62">
        <f>SUM(H129:P129)</f>
        <v>-5</v>
      </c>
      <c r="S129" s="63" t="str">
        <f>$A$124</f>
        <v>Front</v>
      </c>
      <c r="T129" s="43">
        <f t="shared" ref="T129:AB129" si="139">IF($A$124="Front",T$1,T$2)</f>
        <v>4</v>
      </c>
      <c r="U129" s="43">
        <f t="shared" si="139"/>
        <v>3</v>
      </c>
      <c r="V129" s="43">
        <f t="shared" si="139"/>
        <v>4</v>
      </c>
      <c r="W129" s="43">
        <f t="shared" si="139"/>
        <v>5</v>
      </c>
      <c r="X129" s="43">
        <f t="shared" si="139"/>
        <v>4</v>
      </c>
      <c r="Y129" s="43">
        <f t="shared" si="139"/>
        <v>3</v>
      </c>
      <c r="Z129" s="43">
        <f t="shared" si="139"/>
        <v>4</v>
      </c>
      <c r="AA129" s="43">
        <f t="shared" si="139"/>
        <v>5</v>
      </c>
      <c r="AB129" s="43">
        <f t="shared" si="139"/>
        <v>4</v>
      </c>
      <c r="AC129" s="56">
        <f>SUM(T129:AB129)</f>
        <v>36</v>
      </c>
      <c r="AD129" s="41"/>
      <c r="AE129" s="2"/>
      <c r="AH129" s="2"/>
    </row>
    <row r="130" spans="1:35" x14ac:dyDescent="0.4">
      <c r="A130" s="64" t="s">
        <v>102</v>
      </c>
      <c r="B130" s="69">
        <v>1</v>
      </c>
      <c r="C130" s="70">
        <v>1</v>
      </c>
      <c r="D130" s="69" t="str">
        <f>VLOOKUP($C130,[1]Summary!$A$4:$BL$39,4, FALSE)</f>
        <v>Brian Charles</v>
      </c>
      <c r="E130" s="70"/>
      <c r="F130" s="70"/>
      <c r="G130" s="69" t="s">
        <v>88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f>SUM(H130:P130)</f>
        <v>0</v>
      </c>
      <c r="S130" s="66" t="s">
        <v>89</v>
      </c>
      <c r="T130" s="52">
        <f t="shared" ref="T130:AB130" si="140">IF(H130&gt;=T132+H131+2,SUM(T132+H131+2),H130)</f>
        <v>0</v>
      </c>
      <c r="U130" s="52">
        <f t="shared" si="140"/>
        <v>0</v>
      </c>
      <c r="V130" s="52">
        <f t="shared" si="140"/>
        <v>0</v>
      </c>
      <c r="W130" s="52">
        <f t="shared" si="140"/>
        <v>0</v>
      </c>
      <c r="X130" s="52">
        <f t="shared" si="140"/>
        <v>0</v>
      </c>
      <c r="Y130" s="52">
        <f t="shared" si="140"/>
        <v>0</v>
      </c>
      <c r="Z130" s="52">
        <f t="shared" si="140"/>
        <v>0</v>
      </c>
      <c r="AA130" s="52">
        <f t="shared" si="140"/>
        <v>0</v>
      </c>
      <c r="AB130" s="52">
        <f t="shared" si="140"/>
        <v>0</v>
      </c>
      <c r="AC130" s="62">
        <f>SUM(T130:AB130)</f>
        <v>0</v>
      </c>
      <c r="AD130" s="41"/>
      <c r="AE130" s="2"/>
      <c r="AH130" s="2"/>
    </row>
    <row r="131" spans="1:35" ht="15" thickBot="1" x14ac:dyDescent="0.45">
      <c r="A131" s="54"/>
      <c r="B131" s="55"/>
      <c r="C131" s="55"/>
      <c r="D131" s="55"/>
      <c r="E131" s="55"/>
      <c r="F131" s="55"/>
      <c r="G131" s="43" t="s">
        <v>90</v>
      </c>
      <c r="H131" s="43">
        <f>IF($A$124="Front",VLOOKUP($Q131,'[1]Handicap Chart'!$B$4:$K$40,2),VLOOKUP($Q131,'[1]Handicap Chart'!$B$4:$K$40,10))</f>
        <v>1</v>
      </c>
      <c r="I131" s="43">
        <f>IF($A$124="Front",VLOOKUP($Q131,'[1]Handicap Chart'!$B$4:$K$40,4),VLOOKUP($Q131,'[1]Handicap Chart'!$B$4:$K$40,3))</f>
        <v>1</v>
      </c>
      <c r="J131" s="43">
        <f>IF($A$124="Front",VLOOKUP($Q131,'[1]Handicap Chart'!$B$4:$K$40,8),VLOOKUP($Q131,'[1]Handicap Chart'!$B$4:$K$40,6))</f>
        <v>0</v>
      </c>
      <c r="K131" s="43">
        <f>IF($A$124="Front",VLOOKUP($Q131,'[1]Handicap Chart'!$B$4:$K$40,9),VLOOKUP($Q131,'[1]Handicap Chart'!$B$4:$K$40,5))</f>
        <v>0</v>
      </c>
      <c r="L131" s="43">
        <f>IF($A$124="Front",VLOOKUP($Q131,'[1]Handicap Chart'!$B$4:$K$40,5),VLOOKUP($Q131,'[1]Handicap Chart'!$B$4:$K$40,4))</f>
        <v>1</v>
      </c>
      <c r="M131" s="43">
        <f>IF($A$124="Front",VLOOKUP($Q131,'[1]Handicap Chart'!$B$4:$K$40,10),VLOOKUP($Q131,'[1]Handicap Chart'!$B$4:$K$40,9))</f>
        <v>0</v>
      </c>
      <c r="N131" s="43">
        <f>IF($A$124="Front",VLOOKUP($Q131,'[1]Handicap Chart'!$B$4:$K$40,3),VLOOKUP($Q131,'[1]Handicap Chart'!$B$4:$K$40,7))</f>
        <v>1</v>
      </c>
      <c r="O131" s="43">
        <f>IF($A$124="Front",VLOOKUP($Q131,'[1]Handicap Chart'!$B$4:$K$40,7),VLOOKUP($Q131,'[1]Handicap Chart'!$B$4:$K$40,8))</f>
        <v>1</v>
      </c>
      <c r="P131" s="43">
        <f>IF($A$124="Front",VLOOKUP($Q131,'[1]Handicap Chart'!$B$4:$K$40,6),VLOOKUP($Q131,'[1]Handicap Chart'!$B$4:$K$40,2))</f>
        <v>1</v>
      </c>
      <c r="Q131" s="56">
        <f>VLOOKUP($C130,[1]Summary!$A$4:$BL$39,50, FALSE)</f>
        <v>6</v>
      </c>
      <c r="S131" s="72" t="s">
        <v>91</v>
      </c>
      <c r="T131" s="72">
        <f>IF(OR(EXACT($E130,"Y"),(EXACT($F130,"Y"))),"-",IF(H132-T132&gt;1,-1,IF(H132-T132=0,1,IF(H132-T132=-1,3,IF(H132-T132=-2,4,IF(H132-T132=-3,5,0))))))</f>
        <v>0</v>
      </c>
      <c r="U131" s="72">
        <f t="shared" ref="U131:AB131" si="141">IF(OR(EXACT($E130,"Y"),(EXACT($F130,"Y"))),"-",IF(I132-U132&gt;1,-1,IF(I132-U132=0,1,IF(I132-U132=-1,3,IF(I132-U132=-2,4,IF(I132-U132=-3,5,0))))))</f>
        <v>0</v>
      </c>
      <c r="V131" s="72">
        <f t="shared" si="141"/>
        <v>0</v>
      </c>
      <c r="W131" s="72">
        <f t="shared" si="141"/>
        <v>0</v>
      </c>
      <c r="X131" s="72">
        <f t="shared" si="141"/>
        <v>0</v>
      </c>
      <c r="Y131" s="72">
        <f t="shared" si="141"/>
        <v>5</v>
      </c>
      <c r="Z131" s="72">
        <f t="shared" si="141"/>
        <v>0</v>
      </c>
      <c r="AA131" s="72">
        <f t="shared" si="141"/>
        <v>0</v>
      </c>
      <c r="AB131" s="72">
        <f t="shared" si="141"/>
        <v>0</v>
      </c>
      <c r="AC131" s="71">
        <f>IF(EXACT(E130,"Y"),6,IF(EXACT(F130,"Y"),2,SUM(T131:AB131)))</f>
        <v>5</v>
      </c>
      <c r="AD131" s="41"/>
      <c r="AE131" s="2"/>
      <c r="AH131" s="2"/>
    </row>
    <row r="132" spans="1:35" ht="15" thickBot="1" x14ac:dyDescent="0.45">
      <c r="A132" s="73"/>
      <c r="B132" s="74"/>
      <c r="C132" s="74"/>
      <c r="D132" s="74"/>
      <c r="E132" s="74"/>
      <c r="F132" s="74"/>
      <c r="G132" s="75" t="s">
        <v>92</v>
      </c>
      <c r="H132" s="61">
        <f t="shared" ref="H132:P132" si="142">IF(OR(EXACT($E130,"Y"),(EXACT($F130,"Y"))),"-",H130-H131)</f>
        <v>-1</v>
      </c>
      <c r="I132" s="61">
        <f t="shared" si="142"/>
        <v>-1</v>
      </c>
      <c r="J132" s="61">
        <f t="shared" si="142"/>
        <v>0</v>
      </c>
      <c r="K132" s="61">
        <f t="shared" si="142"/>
        <v>0</v>
      </c>
      <c r="L132" s="61">
        <f t="shared" si="142"/>
        <v>-1</v>
      </c>
      <c r="M132" s="61">
        <f t="shared" si="142"/>
        <v>0</v>
      </c>
      <c r="N132" s="61">
        <f t="shared" si="142"/>
        <v>-1</v>
      </c>
      <c r="O132" s="61">
        <f t="shared" si="142"/>
        <v>-1</v>
      </c>
      <c r="P132" s="61">
        <f t="shared" si="142"/>
        <v>-1</v>
      </c>
      <c r="Q132" s="76">
        <f>SUM(H132:P132)</f>
        <v>-6</v>
      </c>
      <c r="S132" s="63" t="str">
        <f>$A$124</f>
        <v>Front</v>
      </c>
      <c r="T132" s="43">
        <f t="shared" ref="T132:AB132" si="143">IF($A$124="Front",T$1,T$2)</f>
        <v>4</v>
      </c>
      <c r="U132" s="43">
        <f t="shared" si="143"/>
        <v>3</v>
      </c>
      <c r="V132" s="43">
        <f t="shared" si="143"/>
        <v>4</v>
      </c>
      <c r="W132" s="43">
        <f t="shared" si="143"/>
        <v>5</v>
      </c>
      <c r="X132" s="43">
        <f t="shared" si="143"/>
        <v>4</v>
      </c>
      <c r="Y132" s="43">
        <f t="shared" si="143"/>
        <v>3</v>
      </c>
      <c r="Z132" s="43">
        <f t="shared" si="143"/>
        <v>4</v>
      </c>
      <c r="AA132" s="43">
        <f t="shared" si="143"/>
        <v>5</v>
      </c>
      <c r="AB132" s="43">
        <f t="shared" si="143"/>
        <v>4</v>
      </c>
      <c r="AC132" s="78">
        <f>SUM(T132:AB132)</f>
        <v>36</v>
      </c>
      <c r="AD132" s="41">
        <f>B127</f>
        <v>1</v>
      </c>
      <c r="AE132" s="79">
        <f>AC128+AC131</f>
        <v>10</v>
      </c>
      <c r="AF132" s="79">
        <f>IF(AC128&gt;=AC122,IF(AC128&gt;AC122,IF(AC131&gt;=AC125,IF(AC131&gt;AC125,4,3),2),IF(AC131&gt;=AC125,IF(AC131&gt;AC125,3,2),IF(AC131&gt;=AC125,IF(AC131&gt;AC125,2,1),1))),IF(AC131&gt;=AC125,IF(AC131&gt;AC125,2,1),0))</f>
        <v>4</v>
      </c>
      <c r="AG132" s="79">
        <f>IF(AE132&gt;AE126,4,IF(AE132=AE126,2,0))</f>
        <v>4</v>
      </c>
      <c r="AH132" s="80">
        <v>4</v>
      </c>
      <c r="AI132" s="80">
        <f>SUM(AF132:AH132)</f>
        <v>12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5"/>
      <c r="T140" s="2"/>
      <c r="U140" s="2"/>
      <c r="V140" s="2"/>
    </row>
    <row r="141" spans="1:35" x14ac:dyDescent="0.4">
      <c r="H141" s="2"/>
      <c r="K141" s="85"/>
      <c r="T141" s="2"/>
      <c r="U141" s="2"/>
      <c r="V141" s="2"/>
      <c r="AF141" s="2" t="s">
        <v>103</v>
      </c>
    </row>
    <row r="142" spans="1:35" x14ac:dyDescent="0.4">
      <c r="H142" s="2"/>
      <c r="K142" s="85"/>
      <c r="T142" s="2"/>
      <c r="U142" s="2"/>
      <c r="V142" s="2"/>
      <c r="AI142" s="1" t="s">
        <v>103</v>
      </c>
    </row>
    <row r="143" spans="1:35" x14ac:dyDescent="0.4">
      <c r="H143" s="2"/>
      <c r="K143" s="85"/>
      <c r="T143" s="2"/>
      <c r="U143" s="2"/>
      <c r="V143" s="2"/>
    </row>
    <row r="144" spans="1:35" x14ac:dyDescent="0.4">
      <c r="H144" s="2"/>
      <c r="K144" s="85"/>
      <c r="T144" s="2"/>
      <c r="U144" s="2"/>
      <c r="V144" s="2"/>
      <c r="AI144" s="1" t="s">
        <v>103</v>
      </c>
    </row>
    <row r="145" spans="8:22" x14ac:dyDescent="0.4">
      <c r="H145" s="2"/>
      <c r="K145" s="85"/>
      <c r="T145" s="2"/>
      <c r="U145" s="2"/>
      <c r="V145" s="2"/>
    </row>
    <row r="146" spans="8:22" x14ac:dyDescent="0.4">
      <c r="H146" s="2"/>
      <c r="K146" s="85"/>
      <c r="T146" s="2"/>
      <c r="U146" s="2"/>
      <c r="V146" s="2"/>
    </row>
    <row r="147" spans="8:22" x14ac:dyDescent="0.4">
      <c r="H147" s="2"/>
      <c r="K147" s="85"/>
      <c r="T147" s="2"/>
      <c r="U147" s="2"/>
      <c r="V147" s="2"/>
    </row>
    <row r="148" spans="8:22" x14ac:dyDescent="0.4">
      <c r="H148" s="2"/>
      <c r="K148" s="85"/>
      <c r="T148" s="2"/>
      <c r="U148" s="2"/>
      <c r="V148" s="2"/>
    </row>
    <row r="149" spans="8:22" x14ac:dyDescent="0.4">
      <c r="H149" s="2"/>
      <c r="K149" s="85"/>
      <c r="T149" s="2"/>
      <c r="U149" s="2"/>
      <c r="V149" s="2"/>
    </row>
    <row r="150" spans="8:22" x14ac:dyDescent="0.4">
      <c r="H150" s="2"/>
      <c r="K150" s="85"/>
      <c r="T150" s="2"/>
      <c r="U150" s="2"/>
      <c r="V150" s="2"/>
    </row>
    <row r="151" spans="8:22" x14ac:dyDescent="0.4">
      <c r="H151" s="2"/>
      <c r="K151" s="85"/>
      <c r="T151" s="2"/>
      <c r="U151" s="2"/>
      <c r="V151" s="2"/>
    </row>
    <row r="152" spans="8:22" x14ac:dyDescent="0.4">
      <c r="H152" s="2"/>
      <c r="K152" s="85"/>
      <c r="T152" s="2"/>
      <c r="U152" s="2"/>
      <c r="V152" s="2"/>
    </row>
    <row r="153" spans="8:22" x14ac:dyDescent="0.4">
      <c r="H153" s="2"/>
      <c r="K153" s="85"/>
      <c r="T153" s="2"/>
      <c r="U153" s="2"/>
      <c r="V153" s="2"/>
    </row>
    <row r="154" spans="8:22" x14ac:dyDescent="0.4">
      <c r="H154" s="2"/>
      <c r="K154" s="85"/>
      <c r="T154" s="2"/>
      <c r="U154" s="2"/>
      <c r="V154" s="2"/>
    </row>
    <row r="155" spans="8:22" x14ac:dyDescent="0.4">
      <c r="H155" s="2"/>
      <c r="K155" s="85"/>
      <c r="T155" s="2"/>
      <c r="U155" s="2"/>
      <c r="V155" s="2"/>
    </row>
    <row r="156" spans="8:22" x14ac:dyDescent="0.4">
      <c r="H156" s="2"/>
      <c r="K156" s="85"/>
      <c r="T156" s="2"/>
      <c r="U156" s="2"/>
      <c r="V156" s="2"/>
    </row>
    <row r="157" spans="8:22" x14ac:dyDescent="0.4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A6">
    <cfRule type="cellIs" dxfId="0" priority="1" stopIfTrue="1" operator="equal">
      <formula>"Yes"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6&quot;)'">
                <anchor moveWithCells="1" sizeWithCells="1">
                  <from>
                    <xdr:col>9</xdr:col>
                    <xdr:colOff>212271</xdr:colOff>
                    <xdr:row>1</xdr:row>
                    <xdr:rowOff>119743</xdr:rowOff>
                  </from>
                  <to>
                    <xdr:col>15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6&quot;)'">
                <anchor moveWithCells="1" sizeWithCells="1">
                  <from>
                    <xdr:col>9</xdr:col>
                    <xdr:colOff>212271</xdr:colOff>
                    <xdr:row>1</xdr:row>
                    <xdr:rowOff>119743</xdr:rowOff>
                  </from>
                  <to>
                    <xdr:col>15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Button 3">
              <controlPr defaultSize="0" print="0" autoFill="0" autoPict="0" macro="[1]!'WeeksScoringTasks(&quot;Week6&quot;)'">
                <anchor moveWithCells="1" sizeWithCells="1">
                  <from>
                    <xdr:col>9</xdr:col>
                    <xdr:colOff>212271</xdr:colOff>
                    <xdr:row>1</xdr:row>
                    <xdr:rowOff>119743</xdr:rowOff>
                  </from>
                  <to>
                    <xdr:col>15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166F-554E-4785-BC46-F36126B6D8E5}">
  <dimension ref="A1:AB37"/>
  <sheetViews>
    <sheetView workbookViewId="0"/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v>2</v>
      </c>
      <c r="AB1" s="10" t="s">
        <v>69</v>
      </c>
    </row>
    <row r="2" spans="1:28" ht="18.45" x14ac:dyDescent="0.4">
      <c r="A2" s="14">
        <v>1</v>
      </c>
      <c r="B2" s="14">
        <v>14</v>
      </c>
      <c r="C2" s="14" t="s">
        <v>20</v>
      </c>
      <c r="D2" s="15">
        <v>6</v>
      </c>
      <c r="E2" s="16">
        <v>20</v>
      </c>
      <c r="F2" s="15">
        <v>14</v>
      </c>
      <c r="G2" s="15">
        <v>6</v>
      </c>
      <c r="H2" s="15"/>
      <c r="I2" s="15"/>
      <c r="J2" s="17"/>
      <c r="K2" s="15"/>
      <c r="L2" s="15"/>
      <c r="M2" s="15"/>
      <c r="N2" s="17"/>
      <c r="O2" s="17"/>
      <c r="P2" s="15"/>
      <c r="Q2" s="15"/>
      <c r="R2" s="15"/>
      <c r="S2" s="15"/>
      <c r="T2" s="15"/>
      <c r="U2" s="15"/>
      <c r="V2" s="14">
        <v>34</v>
      </c>
      <c r="W2" s="14">
        <v>-34</v>
      </c>
      <c r="X2" s="10">
        <v>20</v>
      </c>
      <c r="Y2" s="18"/>
    </row>
    <row r="3" spans="1:28" ht="12.75" customHeight="1" x14ac:dyDescent="0.4">
      <c r="A3" s="14">
        <v>2</v>
      </c>
      <c r="B3" s="14">
        <v>24</v>
      </c>
      <c r="C3" s="14" t="s">
        <v>16</v>
      </c>
      <c r="D3" s="15">
        <v>8</v>
      </c>
      <c r="E3" s="15">
        <v>14</v>
      </c>
      <c r="F3" s="16">
        <v>17</v>
      </c>
      <c r="G3" s="15">
        <v>6</v>
      </c>
      <c r="H3" s="15"/>
      <c r="I3" s="15"/>
      <c r="J3" s="17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4">
        <v>31</v>
      </c>
      <c r="W3" s="14">
        <v>3</v>
      </c>
      <c r="X3" s="10">
        <v>18</v>
      </c>
    </row>
    <row r="4" spans="1:28" x14ac:dyDescent="0.3">
      <c r="A4" s="14">
        <v>3</v>
      </c>
      <c r="B4" s="14">
        <v>19</v>
      </c>
      <c r="C4" s="14" t="s">
        <v>13</v>
      </c>
      <c r="D4" s="15">
        <v>6</v>
      </c>
      <c r="E4" s="15">
        <v>17</v>
      </c>
      <c r="F4" s="15">
        <v>13</v>
      </c>
      <c r="G4" s="15">
        <v>11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4">
        <v>30</v>
      </c>
      <c r="W4" s="14">
        <v>4</v>
      </c>
      <c r="X4" s="10">
        <v>12</v>
      </c>
    </row>
    <row r="5" spans="1:28" ht="12.75" customHeight="1" x14ac:dyDescent="0.4">
      <c r="A5" s="14">
        <v>4</v>
      </c>
      <c r="B5" s="14">
        <v>31</v>
      </c>
      <c r="C5" s="14" t="s">
        <v>17</v>
      </c>
      <c r="D5" s="15">
        <v>9</v>
      </c>
      <c r="E5" s="15">
        <v>13</v>
      </c>
      <c r="F5" s="15">
        <v>11</v>
      </c>
      <c r="G5" s="15">
        <v>16</v>
      </c>
      <c r="H5" s="17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4">
        <v>29</v>
      </c>
      <c r="W5" s="14">
        <v>5</v>
      </c>
      <c r="X5" s="10">
        <v>10</v>
      </c>
    </row>
    <row r="6" spans="1:28" x14ac:dyDescent="0.3">
      <c r="A6" s="14">
        <v>5</v>
      </c>
      <c r="B6" s="14">
        <v>20</v>
      </c>
      <c r="C6" s="14" t="s">
        <v>14</v>
      </c>
      <c r="D6" s="15">
        <v>6</v>
      </c>
      <c r="E6" s="15">
        <v>17</v>
      </c>
      <c r="F6" s="15">
        <v>11</v>
      </c>
      <c r="G6" s="15">
        <v>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4">
        <v>28</v>
      </c>
      <c r="W6" s="14">
        <v>6</v>
      </c>
      <c r="X6" s="10">
        <v>9</v>
      </c>
    </row>
    <row r="7" spans="1:28" ht="12.75" customHeight="1" x14ac:dyDescent="0.4">
      <c r="A7" s="14">
        <v>6</v>
      </c>
      <c r="B7" s="14">
        <v>2</v>
      </c>
      <c r="C7" s="14" t="s">
        <v>10</v>
      </c>
      <c r="D7" s="15">
        <v>11</v>
      </c>
      <c r="E7" s="15">
        <v>7</v>
      </c>
      <c r="F7" s="15">
        <v>11</v>
      </c>
      <c r="G7" s="15">
        <v>16</v>
      </c>
      <c r="H7" s="15"/>
      <c r="I7" s="15"/>
      <c r="J7" s="15"/>
      <c r="K7" s="15"/>
      <c r="L7" s="15"/>
      <c r="M7" s="17"/>
      <c r="N7" s="15"/>
      <c r="O7" s="15"/>
      <c r="P7" s="15"/>
      <c r="Q7" s="15"/>
      <c r="R7" s="15"/>
      <c r="S7" s="15"/>
      <c r="T7" s="15"/>
      <c r="U7" s="15"/>
      <c r="V7" s="14">
        <v>27</v>
      </c>
      <c r="W7" s="14">
        <v>7</v>
      </c>
      <c r="X7" s="10">
        <v>8</v>
      </c>
    </row>
    <row r="8" spans="1:28" ht="12.75" customHeight="1" x14ac:dyDescent="0.4">
      <c r="A8" s="14">
        <v>7</v>
      </c>
      <c r="B8" s="14">
        <v>1</v>
      </c>
      <c r="C8" s="14" t="s">
        <v>9</v>
      </c>
      <c r="D8" s="16">
        <v>14</v>
      </c>
      <c r="E8" s="15">
        <v>6</v>
      </c>
      <c r="F8" s="15">
        <v>11</v>
      </c>
      <c r="G8" s="15">
        <v>10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4">
        <v>25</v>
      </c>
      <c r="W8" s="14">
        <v>9</v>
      </c>
      <c r="X8" s="10">
        <v>8</v>
      </c>
    </row>
    <row r="9" spans="1:28" ht="12.75" customHeight="1" x14ac:dyDescent="0.4">
      <c r="A9" s="14">
        <v>8</v>
      </c>
      <c r="B9" s="14">
        <v>9</v>
      </c>
      <c r="C9" s="14" t="s">
        <v>43</v>
      </c>
      <c r="D9" s="15">
        <v>6</v>
      </c>
      <c r="E9" s="15">
        <v>11</v>
      </c>
      <c r="F9" s="15">
        <v>14</v>
      </c>
      <c r="G9" s="15">
        <v>6</v>
      </c>
      <c r="H9" s="17"/>
      <c r="I9" s="15"/>
      <c r="J9" s="17"/>
      <c r="K9" s="15"/>
      <c r="L9" s="15"/>
      <c r="M9" s="15"/>
      <c r="N9" s="17"/>
      <c r="O9" s="15"/>
      <c r="P9" s="15"/>
      <c r="Q9" s="15"/>
      <c r="R9" s="15"/>
      <c r="S9" s="15"/>
      <c r="T9" s="15"/>
      <c r="U9" s="15"/>
      <c r="V9" s="14">
        <v>25</v>
      </c>
      <c r="W9" s="14">
        <v>9</v>
      </c>
      <c r="X9" s="10">
        <v>8</v>
      </c>
    </row>
    <row r="10" spans="1:28" x14ac:dyDescent="0.3">
      <c r="A10" s="14">
        <v>9</v>
      </c>
      <c r="B10" s="14">
        <v>22</v>
      </c>
      <c r="C10" s="14" t="s">
        <v>12</v>
      </c>
      <c r="D10" s="15">
        <v>4</v>
      </c>
      <c r="E10" s="15">
        <v>14</v>
      </c>
      <c r="F10" s="15">
        <v>8</v>
      </c>
      <c r="G10" s="15">
        <v>11</v>
      </c>
      <c r="H10" s="15"/>
      <c r="I10" s="19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4">
        <v>25</v>
      </c>
      <c r="W10" s="14">
        <v>9</v>
      </c>
      <c r="X10" s="10">
        <v>8</v>
      </c>
    </row>
    <row r="11" spans="1:28" ht="12.75" customHeight="1" x14ac:dyDescent="0.4">
      <c r="A11" s="14">
        <v>10</v>
      </c>
      <c r="B11" s="14">
        <v>30</v>
      </c>
      <c r="C11" s="14" t="s">
        <v>70</v>
      </c>
      <c r="D11" s="15">
        <v>2</v>
      </c>
      <c r="E11" s="15">
        <v>11</v>
      </c>
      <c r="F11" s="15">
        <v>14</v>
      </c>
      <c r="G11" s="15">
        <v>4</v>
      </c>
      <c r="H11" s="15"/>
      <c r="I11" s="15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7"/>
      <c r="V11" s="14">
        <v>25</v>
      </c>
      <c r="W11" s="14">
        <v>9</v>
      </c>
      <c r="X11" s="10">
        <v>7</v>
      </c>
    </row>
    <row r="12" spans="1:28" ht="12.75" customHeight="1" x14ac:dyDescent="0.4">
      <c r="A12" s="14">
        <v>11</v>
      </c>
      <c r="B12" s="14">
        <v>6</v>
      </c>
      <c r="C12" s="14" t="s">
        <v>22</v>
      </c>
      <c r="D12" s="15">
        <v>2</v>
      </c>
      <c r="E12" s="15">
        <v>3</v>
      </c>
      <c r="F12" s="15">
        <v>9</v>
      </c>
      <c r="G12" s="15">
        <v>16</v>
      </c>
      <c r="H12" s="15"/>
      <c r="I12" s="17"/>
      <c r="J12" s="15"/>
      <c r="K12" s="15"/>
      <c r="L12" s="15"/>
      <c r="M12" s="15"/>
      <c r="N12" s="15"/>
      <c r="O12" s="15"/>
      <c r="P12" s="17"/>
      <c r="Q12" s="15"/>
      <c r="R12" s="15"/>
      <c r="S12" s="17"/>
      <c r="T12" s="15"/>
      <c r="U12" s="15"/>
      <c r="V12" s="14">
        <v>25</v>
      </c>
      <c r="W12" s="14">
        <v>9</v>
      </c>
      <c r="X12" s="10">
        <v>6</v>
      </c>
    </row>
    <row r="13" spans="1:28" ht="12.75" customHeight="1" x14ac:dyDescent="0.4">
      <c r="A13" s="14">
        <v>12</v>
      </c>
      <c r="B13" s="14">
        <v>21</v>
      </c>
      <c r="C13" s="14" t="s">
        <v>11</v>
      </c>
      <c r="D13" s="15">
        <v>9</v>
      </c>
      <c r="E13" s="15">
        <v>14</v>
      </c>
      <c r="F13" s="15">
        <v>9</v>
      </c>
      <c r="G13" s="15">
        <v>10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7"/>
      <c r="U13" s="15"/>
      <c r="V13" s="14">
        <v>24</v>
      </c>
      <c r="W13" s="14">
        <v>10</v>
      </c>
      <c r="X13" s="10">
        <v>6</v>
      </c>
    </row>
    <row r="14" spans="1:28" ht="12.75" customHeight="1" x14ac:dyDescent="0.4">
      <c r="A14" s="14">
        <v>13</v>
      </c>
      <c r="B14" s="14">
        <v>28</v>
      </c>
      <c r="C14" s="14" t="s">
        <v>24</v>
      </c>
      <c r="D14" s="15">
        <v>11</v>
      </c>
      <c r="E14" s="15">
        <v>8</v>
      </c>
      <c r="F14" s="15">
        <v>11</v>
      </c>
      <c r="G14" s="15">
        <v>13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7"/>
      <c r="V14" s="14">
        <v>24</v>
      </c>
      <c r="W14" s="14">
        <v>10</v>
      </c>
      <c r="X14" s="10">
        <v>6</v>
      </c>
    </row>
    <row r="15" spans="1:28" ht="12.75" customHeight="1" x14ac:dyDescent="0.4">
      <c r="A15" s="14">
        <v>14</v>
      </c>
      <c r="B15" s="14">
        <v>35</v>
      </c>
      <c r="C15" s="14" t="s">
        <v>27</v>
      </c>
      <c r="D15" s="15">
        <v>5</v>
      </c>
      <c r="E15" s="15">
        <v>7</v>
      </c>
      <c r="F15" s="15">
        <v>6</v>
      </c>
      <c r="G15" s="16">
        <v>17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4">
        <v>24</v>
      </c>
      <c r="W15" s="14">
        <v>10</v>
      </c>
      <c r="X15" s="10">
        <v>6</v>
      </c>
    </row>
    <row r="16" spans="1:28" ht="12.75" customHeight="1" x14ac:dyDescent="0.4">
      <c r="A16" s="14">
        <v>15</v>
      </c>
      <c r="B16" s="14">
        <v>12</v>
      </c>
      <c r="C16" s="14" t="s">
        <v>26</v>
      </c>
      <c r="D16" s="15">
        <v>2</v>
      </c>
      <c r="E16" s="15">
        <v>3</v>
      </c>
      <c r="F16" s="15">
        <v>11</v>
      </c>
      <c r="G16" s="15">
        <v>11</v>
      </c>
      <c r="H16" s="15"/>
      <c r="I16" s="15"/>
      <c r="J16" s="15"/>
      <c r="K16" s="15"/>
      <c r="L16" s="15"/>
      <c r="M16" s="15"/>
      <c r="N16" s="15"/>
      <c r="O16" s="15"/>
      <c r="P16" s="15"/>
      <c r="Q16" s="17"/>
      <c r="R16" s="15"/>
      <c r="S16" s="15"/>
      <c r="T16" s="15"/>
      <c r="U16" s="15"/>
      <c r="V16" s="14">
        <v>22</v>
      </c>
      <c r="W16" s="14">
        <v>12</v>
      </c>
      <c r="X16" s="10">
        <v>6</v>
      </c>
    </row>
    <row r="17" spans="1:26" ht="12.75" customHeight="1" x14ac:dyDescent="0.4">
      <c r="A17" s="14">
        <v>16</v>
      </c>
      <c r="B17" s="14">
        <v>17</v>
      </c>
      <c r="C17" s="14" t="s">
        <v>33</v>
      </c>
      <c r="D17" s="15">
        <v>6</v>
      </c>
      <c r="E17" s="15">
        <v>3</v>
      </c>
      <c r="F17" s="15">
        <v>11</v>
      </c>
      <c r="G17" s="15">
        <v>11</v>
      </c>
      <c r="H17" s="15"/>
      <c r="I17" s="15"/>
      <c r="J17" s="15"/>
      <c r="K17" s="15"/>
      <c r="L17" s="17"/>
      <c r="M17" s="17"/>
      <c r="N17" s="17"/>
      <c r="O17" s="15"/>
      <c r="P17" s="15"/>
      <c r="Q17" s="15"/>
      <c r="R17" s="15"/>
      <c r="S17" s="15"/>
      <c r="T17" s="15"/>
      <c r="U17" s="15"/>
      <c r="V17" s="14">
        <v>22</v>
      </c>
      <c r="W17" s="14">
        <v>12</v>
      </c>
      <c r="X17" s="10">
        <v>6</v>
      </c>
    </row>
    <row r="18" spans="1:26" x14ac:dyDescent="0.3">
      <c r="A18" s="14">
        <v>17</v>
      </c>
      <c r="B18" s="14">
        <v>13</v>
      </c>
      <c r="C18" s="14" t="s">
        <v>19</v>
      </c>
      <c r="D18" s="15">
        <v>3</v>
      </c>
      <c r="E18" s="15">
        <v>7</v>
      </c>
      <c r="F18" s="15">
        <v>9</v>
      </c>
      <c r="G18" s="15">
        <v>13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4">
        <v>22</v>
      </c>
      <c r="W18" s="14">
        <v>12</v>
      </c>
      <c r="X18" s="10">
        <v>6</v>
      </c>
    </row>
    <row r="19" spans="1:26" ht="12.75" customHeight="1" x14ac:dyDescent="0.4">
      <c r="A19" s="14">
        <v>18</v>
      </c>
      <c r="B19" s="14">
        <v>3</v>
      </c>
      <c r="C19" s="14" t="s">
        <v>29</v>
      </c>
      <c r="D19" s="15">
        <v>11</v>
      </c>
      <c r="E19" s="15">
        <v>6</v>
      </c>
      <c r="F19" s="15">
        <v>10</v>
      </c>
      <c r="G19" s="15">
        <v>5</v>
      </c>
      <c r="H19" s="15"/>
      <c r="I19" s="15"/>
      <c r="J19" s="15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4">
        <v>21</v>
      </c>
      <c r="W19" s="14">
        <v>13</v>
      </c>
      <c r="X19" s="10">
        <v>6</v>
      </c>
    </row>
    <row r="20" spans="1:26" ht="18.45" x14ac:dyDescent="0.3">
      <c r="A20" s="14">
        <v>19</v>
      </c>
      <c r="B20" s="14">
        <v>11</v>
      </c>
      <c r="C20" s="14" t="s">
        <v>71</v>
      </c>
      <c r="D20" s="15">
        <v>0</v>
      </c>
      <c r="E20" s="15">
        <v>12</v>
      </c>
      <c r="F20" s="15">
        <v>6</v>
      </c>
      <c r="G20" s="15">
        <v>8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4">
        <v>20</v>
      </c>
      <c r="W20" s="14">
        <v>14</v>
      </c>
      <c r="X20" s="10">
        <v>6</v>
      </c>
      <c r="Z20" s="18"/>
    </row>
    <row r="21" spans="1:26" ht="12.75" customHeight="1" x14ac:dyDescent="0.4">
      <c r="A21" s="14">
        <v>20</v>
      </c>
      <c r="B21" s="14">
        <v>16</v>
      </c>
      <c r="C21" s="14" t="s">
        <v>42</v>
      </c>
      <c r="D21" s="15">
        <v>2</v>
      </c>
      <c r="E21" s="17">
        <v>12</v>
      </c>
      <c r="F21" s="15">
        <v>8</v>
      </c>
      <c r="G21" s="15">
        <v>8</v>
      </c>
      <c r="H21" s="15"/>
      <c r="I21" s="15"/>
      <c r="J21" s="15"/>
      <c r="K21" s="15"/>
      <c r="L21" s="15"/>
      <c r="M21" s="15"/>
      <c r="N21" s="15"/>
      <c r="O21" s="15"/>
      <c r="P21" s="17"/>
      <c r="Q21" s="15"/>
      <c r="R21" s="15"/>
      <c r="S21" s="15"/>
      <c r="T21" s="15"/>
      <c r="U21" s="15"/>
      <c r="V21" s="14">
        <v>20</v>
      </c>
      <c r="W21" s="14">
        <v>14</v>
      </c>
      <c r="X21" s="10">
        <v>5</v>
      </c>
    </row>
    <row r="22" spans="1:26" ht="12.75" customHeight="1" x14ac:dyDescent="0.4">
      <c r="A22" s="14">
        <v>21</v>
      </c>
      <c r="B22" s="14">
        <v>8</v>
      </c>
      <c r="C22" s="14" t="s">
        <v>40</v>
      </c>
      <c r="D22" s="15">
        <v>5</v>
      </c>
      <c r="E22" s="15">
        <v>10</v>
      </c>
      <c r="F22" s="15">
        <v>2</v>
      </c>
      <c r="G22" s="15">
        <v>10</v>
      </c>
      <c r="H22" s="17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>
        <v>20</v>
      </c>
      <c r="W22" s="14">
        <v>14</v>
      </c>
      <c r="X22" s="10">
        <v>5</v>
      </c>
    </row>
    <row r="23" spans="1:26" x14ac:dyDescent="0.3">
      <c r="A23" s="14">
        <v>22</v>
      </c>
      <c r="B23" s="14">
        <v>26</v>
      </c>
      <c r="C23" s="14" t="s">
        <v>38</v>
      </c>
      <c r="D23" s="15">
        <v>13</v>
      </c>
      <c r="E23" s="15">
        <v>2</v>
      </c>
      <c r="F23" s="15">
        <v>6</v>
      </c>
      <c r="G23" s="15">
        <v>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4">
        <v>19</v>
      </c>
      <c r="W23" s="14">
        <v>15</v>
      </c>
      <c r="X23" s="10">
        <v>5</v>
      </c>
    </row>
    <row r="24" spans="1:26" ht="12.75" customHeight="1" x14ac:dyDescent="0.4">
      <c r="A24" s="14">
        <v>23</v>
      </c>
      <c r="B24" s="14">
        <v>5</v>
      </c>
      <c r="C24" s="14" t="s">
        <v>21</v>
      </c>
      <c r="D24" s="15">
        <v>7</v>
      </c>
      <c r="E24" s="15">
        <v>4</v>
      </c>
      <c r="F24" s="15">
        <v>12</v>
      </c>
      <c r="G24" s="15">
        <v>7</v>
      </c>
      <c r="H24" s="15"/>
      <c r="I24" s="15"/>
      <c r="J24" s="15"/>
      <c r="K24" s="15"/>
      <c r="L24" s="15"/>
      <c r="M24" s="17"/>
      <c r="N24" s="15"/>
      <c r="O24" s="15"/>
      <c r="P24" s="15"/>
      <c r="Q24" s="15"/>
      <c r="R24" s="15"/>
      <c r="S24" s="17"/>
      <c r="T24" s="17"/>
      <c r="U24" s="15"/>
      <c r="V24" s="14">
        <v>19</v>
      </c>
      <c r="W24" s="14">
        <v>15</v>
      </c>
      <c r="X24" s="10">
        <v>4</v>
      </c>
    </row>
    <row r="25" spans="1:26" ht="12.75" customHeight="1" x14ac:dyDescent="0.4">
      <c r="A25" s="14">
        <v>24</v>
      </c>
      <c r="B25" s="14">
        <v>33</v>
      </c>
      <c r="C25" s="14" t="s">
        <v>31</v>
      </c>
      <c r="D25" s="15">
        <v>6</v>
      </c>
      <c r="E25" s="15">
        <v>9</v>
      </c>
      <c r="F25" s="15">
        <v>6</v>
      </c>
      <c r="G25" s="15">
        <v>10</v>
      </c>
      <c r="H25" s="15"/>
      <c r="I25" s="17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7"/>
      <c r="U25" s="15"/>
      <c r="V25" s="14">
        <v>19</v>
      </c>
      <c r="W25" s="14">
        <v>15</v>
      </c>
      <c r="X25" s="10">
        <v>4</v>
      </c>
    </row>
    <row r="26" spans="1:26" x14ac:dyDescent="0.3">
      <c r="A26" s="14">
        <v>25</v>
      </c>
      <c r="B26" s="14">
        <v>36</v>
      </c>
      <c r="C26" s="14" t="s">
        <v>28</v>
      </c>
      <c r="D26" s="15">
        <v>0</v>
      </c>
      <c r="E26" s="15">
        <v>10</v>
      </c>
      <c r="F26" s="15">
        <v>8</v>
      </c>
      <c r="G26" s="15">
        <v>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>
        <v>18</v>
      </c>
      <c r="W26" s="14">
        <v>16</v>
      </c>
      <c r="X26" s="10">
        <v>4</v>
      </c>
    </row>
    <row r="27" spans="1:26" ht="12.75" customHeight="1" x14ac:dyDescent="0.4">
      <c r="A27" s="14">
        <v>26</v>
      </c>
      <c r="B27" s="14">
        <v>23</v>
      </c>
      <c r="C27" s="14" t="s">
        <v>15</v>
      </c>
      <c r="D27" s="15">
        <v>4</v>
      </c>
      <c r="E27" s="15">
        <v>6</v>
      </c>
      <c r="F27" s="15">
        <v>10</v>
      </c>
      <c r="G27" s="15">
        <v>3</v>
      </c>
      <c r="H27" s="15"/>
      <c r="I27" s="15"/>
      <c r="J27" s="15"/>
      <c r="K27" s="15"/>
      <c r="L27" s="15"/>
      <c r="M27" s="17"/>
      <c r="N27" s="15"/>
      <c r="O27" s="15"/>
      <c r="P27" s="17"/>
      <c r="Q27" s="15"/>
      <c r="R27" s="15"/>
      <c r="S27" s="17"/>
      <c r="T27" s="15"/>
      <c r="U27" s="15"/>
      <c r="V27" s="14">
        <v>16</v>
      </c>
      <c r="W27" s="14">
        <v>18</v>
      </c>
      <c r="X27" s="10">
        <v>3</v>
      </c>
    </row>
    <row r="28" spans="1:26" x14ac:dyDescent="0.3">
      <c r="A28" s="14">
        <v>27</v>
      </c>
      <c r="B28" s="14">
        <v>27</v>
      </c>
      <c r="C28" s="14" t="s">
        <v>23</v>
      </c>
      <c r="D28" s="15">
        <v>6</v>
      </c>
      <c r="E28" s="15">
        <v>8</v>
      </c>
      <c r="F28" s="15">
        <v>8</v>
      </c>
      <c r="G28" s="15">
        <v>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4">
        <v>16</v>
      </c>
      <c r="W28" s="14">
        <v>18</v>
      </c>
      <c r="X28" s="10">
        <v>3</v>
      </c>
    </row>
    <row r="29" spans="1:26" ht="12.75" customHeight="1" x14ac:dyDescent="0.4">
      <c r="A29" s="14">
        <v>28</v>
      </c>
      <c r="B29" s="14">
        <v>4</v>
      </c>
      <c r="C29" s="14" t="s">
        <v>30</v>
      </c>
      <c r="D29" s="15">
        <v>6</v>
      </c>
      <c r="E29" s="15">
        <v>4</v>
      </c>
      <c r="F29" s="15">
        <v>6</v>
      </c>
      <c r="G29" s="15">
        <v>9</v>
      </c>
      <c r="H29" s="15"/>
      <c r="I29" s="15"/>
      <c r="J29" s="15"/>
      <c r="K29" s="15"/>
      <c r="L29" s="15"/>
      <c r="M29" s="15"/>
      <c r="N29" s="15"/>
      <c r="O29" s="17"/>
      <c r="P29" s="15"/>
      <c r="Q29" s="15"/>
      <c r="R29" s="15"/>
      <c r="S29" s="15"/>
      <c r="T29" s="15"/>
      <c r="U29" s="15"/>
      <c r="V29" s="14">
        <v>15</v>
      </c>
      <c r="W29" s="14">
        <v>19</v>
      </c>
      <c r="X29" s="10">
        <v>2</v>
      </c>
    </row>
    <row r="30" spans="1:26" ht="12.75" customHeight="1" x14ac:dyDescent="0.4">
      <c r="A30" s="14">
        <v>29</v>
      </c>
      <c r="B30" s="14">
        <v>15</v>
      </c>
      <c r="C30" s="14" t="s">
        <v>41</v>
      </c>
      <c r="D30" s="15">
        <v>2</v>
      </c>
      <c r="E30" s="15">
        <v>0</v>
      </c>
      <c r="F30" s="15">
        <v>6</v>
      </c>
      <c r="G30" s="15">
        <v>9</v>
      </c>
      <c r="H30" s="15"/>
      <c r="I30" s="15"/>
      <c r="J30" s="15"/>
      <c r="K30" s="15"/>
      <c r="L30" s="15"/>
      <c r="M30" s="15"/>
      <c r="N30" s="15"/>
      <c r="O30" s="17"/>
      <c r="P30" s="15"/>
      <c r="Q30" s="15"/>
      <c r="R30" s="17"/>
      <c r="S30" s="15"/>
      <c r="T30" s="15"/>
      <c r="U30" s="15"/>
      <c r="V30" s="14">
        <v>15</v>
      </c>
      <c r="W30" s="14">
        <v>19</v>
      </c>
      <c r="X30" s="10">
        <v>2</v>
      </c>
    </row>
    <row r="31" spans="1:26" x14ac:dyDescent="0.3">
      <c r="A31" s="14">
        <v>30</v>
      </c>
      <c r="B31" s="14">
        <v>32</v>
      </c>
      <c r="C31" s="14" t="s">
        <v>18</v>
      </c>
      <c r="D31" s="15">
        <v>2</v>
      </c>
      <c r="E31" s="15">
        <v>6</v>
      </c>
      <c r="F31" s="15">
        <v>6</v>
      </c>
      <c r="G31" s="15">
        <v>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4">
        <v>15</v>
      </c>
      <c r="W31" s="14">
        <v>19</v>
      </c>
      <c r="X31" s="10">
        <v>1</v>
      </c>
    </row>
    <row r="32" spans="1:26" ht="12.75" customHeight="1" x14ac:dyDescent="0.4">
      <c r="A32" s="14">
        <v>31</v>
      </c>
      <c r="B32" s="14">
        <v>34</v>
      </c>
      <c r="C32" s="14" t="s">
        <v>32</v>
      </c>
      <c r="D32" s="15">
        <v>6</v>
      </c>
      <c r="E32" s="15">
        <v>7</v>
      </c>
      <c r="F32" s="15">
        <v>0</v>
      </c>
      <c r="G32" s="15">
        <v>4</v>
      </c>
      <c r="H32" s="15"/>
      <c r="I32" s="15"/>
      <c r="J32" s="15"/>
      <c r="K32" s="15"/>
      <c r="L32" s="15"/>
      <c r="M32" s="15"/>
      <c r="N32" s="17"/>
      <c r="O32" s="15"/>
      <c r="P32" s="15"/>
      <c r="Q32" s="17"/>
      <c r="R32" s="15"/>
      <c r="S32" s="15"/>
      <c r="T32" s="15"/>
      <c r="U32" s="15"/>
      <c r="V32" s="14">
        <v>13</v>
      </c>
      <c r="W32" s="14">
        <v>21</v>
      </c>
      <c r="X32" s="10">
        <v>1</v>
      </c>
    </row>
    <row r="33" spans="1:24" ht="12.75" customHeight="1" x14ac:dyDescent="0.4">
      <c r="A33" s="14">
        <v>32</v>
      </c>
      <c r="B33" s="14">
        <v>7</v>
      </c>
      <c r="C33" s="14" t="s">
        <v>39</v>
      </c>
      <c r="D33" s="15">
        <v>2</v>
      </c>
      <c r="E33" s="15">
        <v>6</v>
      </c>
      <c r="F33" s="15">
        <v>2</v>
      </c>
      <c r="G33" s="15">
        <v>6</v>
      </c>
      <c r="H33" s="15"/>
      <c r="I33" s="15"/>
      <c r="J33" s="15"/>
      <c r="K33" s="15"/>
      <c r="L33" s="15"/>
      <c r="M33" s="15"/>
      <c r="N33" s="15"/>
      <c r="O33" s="15"/>
      <c r="P33" s="17"/>
      <c r="Q33" s="15"/>
      <c r="R33" s="15"/>
      <c r="S33" s="15"/>
      <c r="T33" s="15"/>
      <c r="U33" s="15"/>
      <c r="V33" s="14">
        <v>12</v>
      </c>
      <c r="W33" s="14">
        <v>22</v>
      </c>
      <c r="X33" s="10">
        <v>1</v>
      </c>
    </row>
    <row r="34" spans="1:24" ht="12.75" customHeight="1" x14ac:dyDescent="0.4">
      <c r="A34" s="14">
        <v>33</v>
      </c>
      <c r="B34" s="14">
        <v>29</v>
      </c>
      <c r="C34" s="14" t="s">
        <v>35</v>
      </c>
      <c r="D34" s="15">
        <v>6</v>
      </c>
      <c r="E34" s="15">
        <v>4</v>
      </c>
      <c r="F34" s="15">
        <v>4</v>
      </c>
      <c r="G34" s="15">
        <v>6</v>
      </c>
      <c r="H34" s="15"/>
      <c r="I34" s="15"/>
      <c r="J34" s="15"/>
      <c r="K34" s="15"/>
      <c r="L34" s="15"/>
      <c r="M34" s="15"/>
      <c r="N34" s="15"/>
      <c r="O34" s="17"/>
      <c r="P34" s="15"/>
      <c r="Q34" s="15"/>
      <c r="R34" s="15"/>
      <c r="S34" s="15"/>
      <c r="T34" s="15"/>
      <c r="U34" s="15"/>
      <c r="V34" s="14">
        <v>12</v>
      </c>
      <c r="W34" s="14">
        <v>22</v>
      </c>
      <c r="X34" s="10">
        <v>0</v>
      </c>
    </row>
    <row r="35" spans="1:24" ht="12.75" customHeight="1" x14ac:dyDescent="0.4">
      <c r="A35" s="14">
        <v>34</v>
      </c>
      <c r="B35" s="14">
        <v>18</v>
      </c>
      <c r="C35" s="14" t="s">
        <v>34</v>
      </c>
      <c r="D35" s="15">
        <v>6</v>
      </c>
      <c r="E35" s="15">
        <v>1</v>
      </c>
      <c r="F35" s="15">
        <v>5</v>
      </c>
      <c r="G35" s="15">
        <v>5</v>
      </c>
      <c r="H35" s="15"/>
      <c r="I35" s="15"/>
      <c r="J35" s="15"/>
      <c r="K35" s="15"/>
      <c r="L35" s="15"/>
      <c r="M35" s="15"/>
      <c r="N35" s="15"/>
      <c r="O35" s="15"/>
      <c r="P35" s="17"/>
      <c r="Q35" s="15"/>
      <c r="R35" s="15"/>
      <c r="S35" s="15"/>
      <c r="T35" s="15"/>
      <c r="U35" s="15"/>
      <c r="V35" s="14">
        <v>11</v>
      </c>
      <c r="W35" s="14">
        <v>23</v>
      </c>
      <c r="X35" s="10">
        <v>0</v>
      </c>
    </row>
    <row r="36" spans="1:24" ht="12.75" customHeight="1" x14ac:dyDescent="0.4">
      <c r="A36" s="14">
        <v>35</v>
      </c>
      <c r="B36" s="14">
        <v>25</v>
      </c>
      <c r="C36" s="14" t="s">
        <v>37</v>
      </c>
      <c r="D36" s="15">
        <v>2</v>
      </c>
      <c r="E36" s="15">
        <v>4</v>
      </c>
      <c r="F36" s="15">
        <v>6</v>
      </c>
      <c r="G36" s="15">
        <v>1</v>
      </c>
      <c r="H36" s="15"/>
      <c r="I36" s="15"/>
      <c r="J36" s="15"/>
      <c r="K36" s="15"/>
      <c r="L36" s="15"/>
      <c r="M36" s="15"/>
      <c r="N36" s="15"/>
      <c r="O36" s="17"/>
      <c r="P36" s="15"/>
      <c r="Q36" s="15"/>
      <c r="R36" s="15"/>
      <c r="S36" s="15"/>
      <c r="T36" s="15"/>
      <c r="U36" s="15"/>
      <c r="V36" s="14">
        <v>10</v>
      </c>
      <c r="W36" s="14">
        <v>24</v>
      </c>
      <c r="X36" s="10">
        <v>0</v>
      </c>
    </row>
    <row r="37" spans="1:24" ht="12.75" customHeight="1" x14ac:dyDescent="0.4">
      <c r="A37" s="14">
        <v>36</v>
      </c>
      <c r="B37" s="14">
        <v>10</v>
      </c>
      <c r="C37" s="14" t="s">
        <v>44</v>
      </c>
      <c r="D37" s="15">
        <v>1</v>
      </c>
      <c r="E37" s="15">
        <v>2</v>
      </c>
      <c r="F37" s="20">
        <v>-3</v>
      </c>
      <c r="G37" s="15">
        <v>8</v>
      </c>
      <c r="H37" s="15"/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7"/>
      <c r="U37" s="15"/>
      <c r="V37" s="14">
        <v>10</v>
      </c>
      <c r="W37" s="14">
        <v>24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87BC-A679-4F2F-B3B2-25E6A4E496D1}">
  <dimension ref="D5:AB30"/>
  <sheetViews>
    <sheetView workbookViewId="0">
      <selection activeCell="AD11" sqref="AD11"/>
    </sheetView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" customWidth="1"/>
    <col min="7" max="7" width="12.53515625" style="1" customWidth="1"/>
    <col min="8" max="8" width="3.4609375" style="2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90" t="s">
        <v>1</v>
      </c>
      <c r="G8" s="91"/>
      <c r="H8" s="90" t="s">
        <v>2</v>
      </c>
      <c r="I8" s="91"/>
      <c r="J8" s="92" t="s">
        <v>3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4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</v>
      </c>
      <c r="F10" s="7">
        <v>1</v>
      </c>
      <c r="G10" s="7" t="s">
        <v>9</v>
      </c>
      <c r="H10" s="7">
        <v>2</v>
      </c>
      <c r="I10" s="7" t="s">
        <v>10</v>
      </c>
      <c r="J10" s="7">
        <v>16</v>
      </c>
      <c r="K10" s="7">
        <v>8</v>
      </c>
      <c r="L10" s="7">
        <v>14</v>
      </c>
      <c r="M10" s="7">
        <v>16</v>
      </c>
      <c r="N10" s="7">
        <v>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54</v>
      </c>
    </row>
    <row r="11" spans="4:28" ht="15" thickBot="1" x14ac:dyDescent="0.45">
      <c r="D11" s="7">
        <v>2</v>
      </c>
      <c r="E11" s="7">
        <v>11</v>
      </c>
      <c r="F11" s="7">
        <v>21</v>
      </c>
      <c r="G11" s="7" t="s">
        <v>11</v>
      </c>
      <c r="H11" s="7">
        <v>22</v>
      </c>
      <c r="I11" s="7" t="s">
        <v>12</v>
      </c>
      <c r="J11" s="7">
        <v>12</v>
      </c>
      <c r="K11" s="7">
        <v>16</v>
      </c>
      <c r="L11" s="7">
        <v>10</v>
      </c>
      <c r="M11" s="7">
        <v>14</v>
      </c>
      <c r="N11" s="7">
        <v>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52</v>
      </c>
    </row>
    <row r="12" spans="4:28" ht="15" thickBot="1" x14ac:dyDescent="0.45">
      <c r="D12" s="7">
        <v>3</v>
      </c>
      <c r="E12" s="7">
        <v>10</v>
      </c>
      <c r="F12" s="7">
        <v>19</v>
      </c>
      <c r="G12" s="7" t="s">
        <v>13</v>
      </c>
      <c r="H12" s="7">
        <v>20</v>
      </c>
      <c r="I12" s="7" t="s">
        <v>14</v>
      </c>
      <c r="J12" s="7">
        <v>6</v>
      </c>
      <c r="K12" s="7">
        <v>14</v>
      </c>
      <c r="L12" s="7">
        <v>16</v>
      </c>
      <c r="M12" s="7">
        <v>10</v>
      </c>
      <c r="N12" s="7">
        <v>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46</v>
      </c>
    </row>
    <row r="13" spans="4:28" ht="15" thickBot="1" x14ac:dyDescent="0.45">
      <c r="D13" s="7">
        <v>4</v>
      </c>
      <c r="E13" s="7">
        <v>12</v>
      </c>
      <c r="F13" s="7">
        <v>23</v>
      </c>
      <c r="G13" s="7" t="s">
        <v>15</v>
      </c>
      <c r="H13" s="7">
        <v>24</v>
      </c>
      <c r="I13" s="7" t="s">
        <v>16</v>
      </c>
      <c r="J13" s="7">
        <v>12</v>
      </c>
      <c r="K13" s="7">
        <v>14</v>
      </c>
      <c r="L13" s="7">
        <v>14</v>
      </c>
      <c r="M13" s="7">
        <v>1</v>
      </c>
      <c r="N13" s="7"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41</v>
      </c>
    </row>
    <row r="14" spans="4:28" ht="15" thickBot="1" x14ac:dyDescent="0.45">
      <c r="D14" s="7">
        <v>5</v>
      </c>
      <c r="E14" s="7">
        <v>16</v>
      </c>
      <c r="F14" s="7">
        <v>31</v>
      </c>
      <c r="G14" s="7" t="s">
        <v>17</v>
      </c>
      <c r="H14" s="7">
        <v>32</v>
      </c>
      <c r="I14" s="7" t="s">
        <v>18</v>
      </c>
      <c r="J14" s="7">
        <v>12</v>
      </c>
      <c r="K14" s="7">
        <v>12</v>
      </c>
      <c r="L14" s="7">
        <v>3</v>
      </c>
      <c r="M14" s="7">
        <v>14</v>
      </c>
      <c r="N14" s="7">
        <v>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41</v>
      </c>
    </row>
    <row r="15" spans="4:28" ht="15" thickBot="1" x14ac:dyDescent="0.45">
      <c r="D15" s="7">
        <v>6</v>
      </c>
      <c r="E15" s="7">
        <v>7</v>
      </c>
      <c r="F15" s="7">
        <v>13</v>
      </c>
      <c r="G15" s="7" t="s">
        <v>19</v>
      </c>
      <c r="H15" s="7">
        <v>14</v>
      </c>
      <c r="I15" s="7" t="s">
        <v>20</v>
      </c>
      <c r="J15" s="7">
        <v>2</v>
      </c>
      <c r="K15" s="7">
        <v>8</v>
      </c>
      <c r="L15" s="7">
        <v>12</v>
      </c>
      <c r="M15" s="7">
        <v>12</v>
      </c>
      <c r="N15" s="7"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34</v>
      </c>
    </row>
    <row r="16" spans="4:28" ht="15" thickBot="1" x14ac:dyDescent="0.45">
      <c r="D16" s="7">
        <v>7</v>
      </c>
      <c r="E16" s="7">
        <v>3</v>
      </c>
      <c r="F16" s="7">
        <v>5</v>
      </c>
      <c r="G16" s="7" t="s">
        <v>21</v>
      </c>
      <c r="H16" s="7">
        <v>6</v>
      </c>
      <c r="I16" s="7" t="s">
        <v>22</v>
      </c>
      <c r="J16" s="7">
        <v>9</v>
      </c>
      <c r="K16" s="7">
        <v>0</v>
      </c>
      <c r="L16" s="7">
        <v>10</v>
      </c>
      <c r="M16" s="7">
        <v>14</v>
      </c>
      <c r="N16" s="7">
        <v>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33</v>
      </c>
    </row>
    <row r="17" spans="4:28" ht="15" thickBot="1" x14ac:dyDescent="0.45">
      <c r="D17" s="7">
        <v>8</v>
      </c>
      <c r="E17" s="7">
        <v>14</v>
      </c>
      <c r="F17" s="7">
        <v>27</v>
      </c>
      <c r="G17" s="7" t="s">
        <v>23</v>
      </c>
      <c r="H17" s="7">
        <v>28</v>
      </c>
      <c r="I17" s="7" t="s">
        <v>24</v>
      </c>
      <c r="J17" s="7">
        <v>15</v>
      </c>
      <c r="K17" s="7">
        <v>4</v>
      </c>
      <c r="L17" s="7">
        <v>11</v>
      </c>
      <c r="M17" s="7">
        <v>2</v>
      </c>
      <c r="N17" s="7">
        <v>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32</v>
      </c>
    </row>
    <row r="18" spans="4:28" ht="15" thickBot="1" x14ac:dyDescent="0.45">
      <c r="D18" s="8">
        <v>9</v>
      </c>
      <c r="E18" s="8">
        <v>6</v>
      </c>
      <c r="F18" s="8">
        <v>11</v>
      </c>
      <c r="G18" s="8" t="s">
        <v>25</v>
      </c>
      <c r="H18" s="8">
        <v>12</v>
      </c>
      <c r="I18" s="8" t="s">
        <v>26</v>
      </c>
      <c r="J18" s="8">
        <v>1</v>
      </c>
      <c r="K18" s="8">
        <v>8</v>
      </c>
      <c r="L18" s="8">
        <v>4</v>
      </c>
      <c r="M18" s="8">
        <v>12</v>
      </c>
      <c r="N18" s="8">
        <v>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25</v>
      </c>
    </row>
    <row r="19" spans="4:28" ht="15" thickBot="1" x14ac:dyDescent="0.45">
      <c r="D19" s="8">
        <v>10</v>
      </c>
      <c r="E19" s="8">
        <v>18</v>
      </c>
      <c r="F19" s="8">
        <v>35</v>
      </c>
      <c r="G19" s="8" t="s">
        <v>27</v>
      </c>
      <c r="H19" s="8">
        <v>36</v>
      </c>
      <c r="I19" s="8" t="s">
        <v>28</v>
      </c>
      <c r="J19" s="8">
        <v>0</v>
      </c>
      <c r="K19" s="8">
        <v>10</v>
      </c>
      <c r="L19" s="8">
        <v>0</v>
      </c>
      <c r="M19" s="8">
        <v>13</v>
      </c>
      <c r="N19" s="8">
        <v>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23</v>
      </c>
    </row>
    <row r="20" spans="4:28" ht="15" thickBot="1" x14ac:dyDescent="0.45">
      <c r="D20" s="8">
        <v>11</v>
      </c>
      <c r="E20" s="8">
        <v>2</v>
      </c>
      <c r="F20" s="8">
        <v>3</v>
      </c>
      <c r="G20" s="8" t="s">
        <v>29</v>
      </c>
      <c r="H20" s="8">
        <v>4</v>
      </c>
      <c r="I20" s="8" t="s">
        <v>30</v>
      </c>
      <c r="J20" s="8">
        <v>16</v>
      </c>
      <c r="K20" s="8">
        <v>2</v>
      </c>
      <c r="L20" s="8">
        <v>2</v>
      </c>
      <c r="M20" s="8">
        <v>0</v>
      </c>
      <c r="N20" s="8"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20</v>
      </c>
    </row>
    <row r="21" spans="4:28" ht="15" thickBot="1" x14ac:dyDescent="0.45">
      <c r="D21" s="8">
        <v>12</v>
      </c>
      <c r="E21" s="8">
        <v>9</v>
      </c>
      <c r="F21" s="8">
        <v>17</v>
      </c>
      <c r="G21" s="8" t="s">
        <v>33</v>
      </c>
      <c r="H21" s="8">
        <v>18</v>
      </c>
      <c r="I21" s="8" t="s">
        <v>34</v>
      </c>
      <c r="J21" s="8">
        <v>12</v>
      </c>
      <c r="K21" s="8">
        <v>0</v>
      </c>
      <c r="L21" s="8">
        <v>2</v>
      </c>
      <c r="M21" s="8">
        <v>2</v>
      </c>
      <c r="N21" s="8"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16</v>
      </c>
    </row>
    <row r="22" spans="4:28" ht="15" thickBot="1" x14ac:dyDescent="0.45">
      <c r="D22" s="8">
        <v>13</v>
      </c>
      <c r="E22" s="8">
        <v>17</v>
      </c>
      <c r="F22" s="8">
        <v>33</v>
      </c>
      <c r="G22" s="8" t="s">
        <v>31</v>
      </c>
      <c r="H22" s="8">
        <v>34</v>
      </c>
      <c r="I22" s="8" t="s">
        <v>32</v>
      </c>
      <c r="J22" s="8">
        <v>6</v>
      </c>
      <c r="K22" s="8">
        <v>8</v>
      </c>
      <c r="L22" s="8">
        <v>2</v>
      </c>
      <c r="M22" s="8">
        <v>0</v>
      </c>
      <c r="N22" s="8"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16</v>
      </c>
    </row>
    <row r="23" spans="4:28" ht="15" thickBot="1" x14ac:dyDescent="0.45">
      <c r="D23" s="8">
        <v>14</v>
      </c>
      <c r="E23" s="8">
        <v>15</v>
      </c>
      <c r="F23" s="8">
        <v>29</v>
      </c>
      <c r="G23" s="8" t="s">
        <v>35</v>
      </c>
      <c r="H23" s="8">
        <v>30</v>
      </c>
      <c r="I23" s="8" t="s">
        <v>36</v>
      </c>
      <c r="J23" s="8">
        <v>3</v>
      </c>
      <c r="K23" s="8">
        <v>4</v>
      </c>
      <c r="L23" s="8">
        <v>8</v>
      </c>
      <c r="M23" s="8">
        <v>0</v>
      </c>
      <c r="N23" s="8"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15</v>
      </c>
    </row>
    <row r="24" spans="4:28" ht="15" thickBot="1" x14ac:dyDescent="0.45">
      <c r="D24" s="8">
        <v>15</v>
      </c>
      <c r="E24" s="8">
        <v>13</v>
      </c>
      <c r="F24" s="8">
        <v>25</v>
      </c>
      <c r="G24" s="8" t="s">
        <v>37</v>
      </c>
      <c r="H24" s="8">
        <v>26</v>
      </c>
      <c r="I24" s="8" t="s">
        <v>38</v>
      </c>
      <c r="J24" s="8">
        <v>12</v>
      </c>
      <c r="K24" s="8">
        <v>0</v>
      </c>
      <c r="L24" s="8">
        <v>2</v>
      </c>
      <c r="M24" s="8">
        <v>0</v>
      </c>
      <c r="N24" s="8">
        <v>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14</v>
      </c>
    </row>
    <row r="25" spans="4:28" ht="15" thickBot="1" x14ac:dyDescent="0.45">
      <c r="D25" s="8">
        <v>16</v>
      </c>
      <c r="E25" s="8">
        <v>4</v>
      </c>
      <c r="F25" s="8">
        <v>7</v>
      </c>
      <c r="G25" s="8" t="s">
        <v>39</v>
      </c>
      <c r="H25" s="8">
        <v>8</v>
      </c>
      <c r="I25" s="8" t="s">
        <v>40</v>
      </c>
      <c r="J25" s="8">
        <v>0</v>
      </c>
      <c r="K25" s="8">
        <v>8</v>
      </c>
      <c r="L25" s="8">
        <v>0</v>
      </c>
      <c r="M25" s="8">
        <v>4</v>
      </c>
      <c r="N25" s="8">
        <v>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12</v>
      </c>
    </row>
    <row r="26" spans="4:28" ht="15" thickBot="1" x14ac:dyDescent="0.45">
      <c r="D26" s="8">
        <v>17</v>
      </c>
      <c r="E26" s="8">
        <v>8</v>
      </c>
      <c r="F26" s="8">
        <v>15</v>
      </c>
      <c r="G26" s="8" t="s">
        <v>41</v>
      </c>
      <c r="H26" s="8">
        <v>16</v>
      </c>
      <c r="I26" s="8" t="s">
        <v>42</v>
      </c>
      <c r="J26" s="8">
        <v>0</v>
      </c>
      <c r="K26" s="8">
        <v>0</v>
      </c>
      <c r="L26" s="8">
        <v>0</v>
      </c>
      <c r="M26" s="8">
        <v>12</v>
      </c>
      <c r="N26" s="8">
        <v>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12</v>
      </c>
    </row>
    <row r="27" spans="4:28" x14ac:dyDescent="0.4">
      <c r="D27" s="8">
        <v>18</v>
      </c>
      <c r="E27" s="8">
        <v>5</v>
      </c>
      <c r="F27" s="8">
        <v>9</v>
      </c>
      <c r="G27" s="8" t="s">
        <v>43</v>
      </c>
      <c r="H27" s="8">
        <v>10</v>
      </c>
      <c r="I27" s="8" t="s">
        <v>44</v>
      </c>
      <c r="J27" s="8">
        <v>0</v>
      </c>
      <c r="K27" s="8">
        <v>2</v>
      </c>
      <c r="L27" s="8">
        <v>6</v>
      </c>
      <c r="M27" s="8">
        <v>0</v>
      </c>
      <c r="N27" s="8"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8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Week5</vt:lpstr>
      <vt:lpstr>Week6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2025-05-21T02:34:10Z</dcterms:created>
  <dcterms:modified xsi:type="dcterms:W3CDTF">2025-05-21T02:46:58Z</dcterms:modified>
</cp:coreProperties>
</file>