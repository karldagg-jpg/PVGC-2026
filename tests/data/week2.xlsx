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drawings/drawing3.xml" ContentType="application/vnd.openxmlformats-officedocument.drawing+xml"/>
  <Override PartName="/xl/ctrlProps/ctrlProp4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6c3595a8ed6d4c/Golf League/2025/"/>
    </mc:Choice>
  </mc:AlternateContent>
  <xr:revisionPtr revIDLastSave="19" documentId="8_{BC75E4DB-806B-49F3-A408-AD6EEF166580}" xr6:coauthVersionLast="47" xr6:coauthVersionMax="47" xr10:uidLastSave="{B92A68B3-C0B9-4B97-8ADE-601F79D45362}"/>
  <bookViews>
    <workbookView xWindow="-103" yWindow="-103" windowWidth="33120" windowHeight="18000" activeTab="3" xr2:uid="{5B70A8FA-4715-4109-BF5C-07348F67A92A}"/>
  </bookViews>
  <sheets>
    <sheet name="Week2" sheetId="5" r:id="rId1"/>
    <sheet name="Week3" sheetId="4" r:id="rId2"/>
    <sheet name="POY" sheetId="3" r:id="rId3"/>
    <sheet name="Main" sheetId="2" r:id="rId4"/>
  </sheets>
  <externalReferences>
    <externalReference r:id="rId5"/>
  </externalReferenc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32" i="4" l="1"/>
  <c r="AB132" i="4"/>
  <c r="AA132" i="4"/>
  <c r="AA130" i="4" s="1"/>
  <c r="Z132" i="4"/>
  <c r="Y132" i="4"/>
  <c r="X132" i="4"/>
  <c r="W132" i="4"/>
  <c r="V132" i="4"/>
  <c r="U132" i="4"/>
  <c r="T132" i="4"/>
  <c r="AC132" i="4" s="1"/>
  <c r="S132" i="4"/>
  <c r="J132" i="4"/>
  <c r="V131" i="4" s="1"/>
  <c r="Q131" i="4"/>
  <c r="M131" i="4" s="1"/>
  <c r="P131" i="4"/>
  <c r="P132" i="4" s="1"/>
  <c r="AB131" i="4" s="1"/>
  <c r="O131" i="4"/>
  <c r="O132" i="4" s="1"/>
  <c r="AA131" i="4" s="1"/>
  <c r="N131" i="4"/>
  <c r="Z130" i="4" s="1"/>
  <c r="L131" i="4"/>
  <c r="L132" i="4" s="1"/>
  <c r="X131" i="4" s="1"/>
  <c r="J131" i="4"/>
  <c r="V130" i="4" s="1"/>
  <c r="H131" i="4"/>
  <c r="H132" i="4" s="1"/>
  <c r="AB130" i="4"/>
  <c r="X130" i="4"/>
  <c r="T130" i="4"/>
  <c r="Q130" i="4"/>
  <c r="D130" i="4"/>
  <c r="AB129" i="4"/>
  <c r="AA129" i="4"/>
  <c r="Z129" i="4"/>
  <c r="Y129" i="4"/>
  <c r="X129" i="4"/>
  <c r="W129" i="4"/>
  <c r="V129" i="4"/>
  <c r="U129" i="4"/>
  <c r="T129" i="4"/>
  <c r="T127" i="4" s="1"/>
  <c r="S129" i="4"/>
  <c r="O129" i="4"/>
  <c r="AA128" i="4" s="1"/>
  <c r="Q128" i="4"/>
  <c r="J128" i="4" s="1"/>
  <c r="J129" i="4" s="1"/>
  <c r="V128" i="4" s="1"/>
  <c r="O128" i="4"/>
  <c r="AA127" i="4" s="1"/>
  <c r="M128" i="4"/>
  <c r="M129" i="4" s="1"/>
  <c r="Y128" i="4" s="1"/>
  <c r="K128" i="4"/>
  <c r="H128" i="4"/>
  <c r="H129" i="4" s="1"/>
  <c r="Q127" i="4"/>
  <c r="D127" i="4"/>
  <c r="AD126" i="4"/>
  <c r="AB126" i="4"/>
  <c r="AA126" i="4"/>
  <c r="Z126" i="4"/>
  <c r="Y126" i="4"/>
  <c r="X126" i="4"/>
  <c r="W126" i="4"/>
  <c r="W124" i="4" s="1"/>
  <c r="V126" i="4"/>
  <c r="U126" i="4"/>
  <c r="T126" i="4"/>
  <c r="S126" i="4"/>
  <c r="Q125" i="4"/>
  <c r="H125" i="4" s="1"/>
  <c r="H126" i="4" s="1"/>
  <c r="K125" i="4"/>
  <c r="K126" i="4" s="1"/>
  <c r="W125" i="4" s="1"/>
  <c r="I125" i="4"/>
  <c r="Q124" i="4"/>
  <c r="D124" i="4"/>
  <c r="AB123" i="4"/>
  <c r="AB121" i="4" s="1"/>
  <c r="AA123" i="4"/>
  <c r="Z123" i="4"/>
  <c r="Y123" i="4"/>
  <c r="Y121" i="4" s="1"/>
  <c r="X123" i="4"/>
  <c r="W123" i="4"/>
  <c r="W121" i="4" s="1"/>
  <c r="V123" i="4"/>
  <c r="U123" i="4"/>
  <c r="AC123" i="4" s="1"/>
  <c r="T123" i="4"/>
  <c r="S123" i="4"/>
  <c r="H123" i="4"/>
  <c r="AB122" i="4"/>
  <c r="Q122" i="4"/>
  <c r="I122" i="4" s="1"/>
  <c r="P122" i="4"/>
  <c r="P123" i="4" s="1"/>
  <c r="N122" i="4"/>
  <c r="M122" i="4"/>
  <c r="M123" i="4" s="1"/>
  <c r="Y122" i="4" s="1"/>
  <c r="L122" i="4"/>
  <c r="L123" i="4" s="1"/>
  <c r="X122" i="4" s="1"/>
  <c r="K122" i="4"/>
  <c r="K123" i="4" s="1"/>
  <c r="W122" i="4" s="1"/>
  <c r="J122" i="4"/>
  <c r="V121" i="4" s="1"/>
  <c r="H122" i="4"/>
  <c r="X121" i="4"/>
  <c r="T121" i="4"/>
  <c r="Q121" i="4"/>
  <c r="D121" i="4"/>
  <c r="AD118" i="4"/>
  <c r="AC118" i="4"/>
  <c r="AB118" i="4"/>
  <c r="AA118" i="4"/>
  <c r="AA116" i="4" s="1"/>
  <c r="Z118" i="4"/>
  <c r="Z116" i="4" s="1"/>
  <c r="Y118" i="4"/>
  <c r="X118" i="4"/>
  <c r="W118" i="4"/>
  <c r="W116" i="4" s="1"/>
  <c r="V118" i="4"/>
  <c r="U118" i="4"/>
  <c r="U116" i="4" s="1"/>
  <c r="T118" i="4"/>
  <c r="S118" i="4"/>
  <c r="P118" i="4"/>
  <c r="AB117" i="4" s="1"/>
  <c r="O118" i="4"/>
  <c r="AA117" i="4" s="1"/>
  <c r="J118" i="4"/>
  <c r="V117" i="4"/>
  <c r="Q117" i="4"/>
  <c r="M117" i="4" s="1"/>
  <c r="M118" i="4" s="1"/>
  <c r="Y117" i="4" s="1"/>
  <c r="P117" i="4"/>
  <c r="O117" i="4"/>
  <c r="N117" i="4"/>
  <c r="N118" i="4" s="1"/>
  <c r="Z117" i="4" s="1"/>
  <c r="L117" i="4"/>
  <c r="K117" i="4"/>
  <c r="K118" i="4" s="1"/>
  <c r="W117" i="4" s="1"/>
  <c r="J117" i="4"/>
  <c r="I117" i="4"/>
  <c r="I118" i="4" s="1"/>
  <c r="U117" i="4" s="1"/>
  <c r="H117" i="4"/>
  <c r="T116" i="4" s="1"/>
  <c r="AB116" i="4"/>
  <c r="V116" i="4"/>
  <c r="Q116" i="4"/>
  <c r="D116" i="4"/>
  <c r="AB115" i="4"/>
  <c r="AA115" i="4"/>
  <c r="Z115" i="4"/>
  <c r="Y115" i="4"/>
  <c r="X115" i="4"/>
  <c r="W115" i="4"/>
  <c r="V115" i="4"/>
  <c r="U115" i="4"/>
  <c r="T115" i="4"/>
  <c r="S115" i="4"/>
  <c r="Q114" i="4"/>
  <c r="Q113" i="4"/>
  <c r="D113" i="4"/>
  <c r="AD112" i="4"/>
  <c r="AB112" i="4"/>
  <c r="AA112" i="4"/>
  <c r="Z112" i="4"/>
  <c r="Y112" i="4"/>
  <c r="X112" i="4"/>
  <c r="W112" i="4"/>
  <c r="V112" i="4"/>
  <c r="U112" i="4"/>
  <c r="T112" i="4"/>
  <c r="S112" i="4"/>
  <c r="Q111" i="4"/>
  <c r="N111" i="4" s="1"/>
  <c r="N112" i="4" s="1"/>
  <c r="Z111" i="4" s="1"/>
  <c r="O111" i="4"/>
  <c r="K111" i="4"/>
  <c r="W110" i="4" s="1"/>
  <c r="Q110" i="4"/>
  <c r="D110" i="4"/>
  <c r="AB109" i="4"/>
  <c r="AA109" i="4"/>
  <c r="Z109" i="4"/>
  <c r="Y109" i="4"/>
  <c r="X109" i="4"/>
  <c r="W109" i="4"/>
  <c r="V109" i="4"/>
  <c r="U109" i="4"/>
  <c r="T109" i="4"/>
  <c r="S109" i="4"/>
  <c r="Q108" i="4"/>
  <c r="O108" i="4" s="1"/>
  <c r="P108" i="4"/>
  <c r="N108" i="4"/>
  <c r="Z107" i="4" s="1"/>
  <c r="J108" i="4"/>
  <c r="J109" i="4" s="1"/>
  <c r="V108" i="4" s="1"/>
  <c r="H108" i="4"/>
  <c r="T107" i="4" s="1"/>
  <c r="Q107" i="4"/>
  <c r="D107" i="4"/>
  <c r="AD104" i="4"/>
  <c r="AC104" i="4"/>
  <c r="AB104" i="4"/>
  <c r="AA104" i="4"/>
  <c r="AA102" i="4" s="1"/>
  <c r="Z104" i="4"/>
  <c r="Y104" i="4"/>
  <c r="X104" i="4"/>
  <c r="W104" i="4"/>
  <c r="V104" i="4"/>
  <c r="U104" i="4"/>
  <c r="U102" i="4" s="1"/>
  <c r="T104" i="4"/>
  <c r="S104" i="4"/>
  <c r="P104" i="4"/>
  <c r="AB103" i="4" s="1"/>
  <c r="L104" i="4"/>
  <c r="X103" i="4" s="1"/>
  <c r="J104" i="4"/>
  <c r="V103" i="4" s="1"/>
  <c r="Q103" i="4"/>
  <c r="M103" i="4" s="1"/>
  <c r="M104" i="4" s="1"/>
  <c r="P103" i="4"/>
  <c r="O103" i="4"/>
  <c r="O104" i="4" s="1"/>
  <c r="AA103" i="4" s="1"/>
  <c r="N103" i="4"/>
  <c r="L103" i="4"/>
  <c r="X102" i="4" s="1"/>
  <c r="J103" i="4"/>
  <c r="I103" i="4"/>
  <c r="I104" i="4" s="1"/>
  <c r="U103" i="4" s="1"/>
  <c r="H103" i="4"/>
  <c r="H104" i="4" s="1"/>
  <c r="T103" i="4" s="1"/>
  <c r="AB102" i="4"/>
  <c r="Y102" i="4"/>
  <c r="V102" i="4"/>
  <c r="Q102" i="4"/>
  <c r="D102" i="4"/>
  <c r="AB101" i="4"/>
  <c r="AA101" i="4"/>
  <c r="Z101" i="4"/>
  <c r="Y101" i="4"/>
  <c r="Y100" i="4" s="1"/>
  <c r="X101" i="4"/>
  <c r="W101" i="4"/>
  <c r="V101" i="4"/>
  <c r="U101" i="4"/>
  <c r="T101" i="4"/>
  <c r="S101" i="4"/>
  <c r="K101" i="4"/>
  <c r="W100" i="4" s="1"/>
  <c r="Q100" i="4"/>
  <c r="I100" i="4" s="1"/>
  <c r="O100" i="4"/>
  <c r="O101" i="4" s="1"/>
  <c r="AA100" i="4" s="1"/>
  <c r="M100" i="4"/>
  <c r="M101" i="4" s="1"/>
  <c r="K100" i="4"/>
  <c r="H100" i="4"/>
  <c r="H101" i="4" s="1"/>
  <c r="AA99" i="4"/>
  <c r="W99" i="4"/>
  <c r="Q99" i="4"/>
  <c r="D99" i="4"/>
  <c r="AD98" i="4"/>
  <c r="AB98" i="4"/>
  <c r="AA98" i="4"/>
  <c r="Z98" i="4"/>
  <c r="Y98" i="4"/>
  <c r="X98" i="4"/>
  <c r="W98" i="4"/>
  <c r="W96" i="4" s="1"/>
  <c r="V98" i="4"/>
  <c r="U98" i="4"/>
  <c r="T98" i="4"/>
  <c r="S98" i="4"/>
  <c r="K98" i="4"/>
  <c r="W97" i="4" s="1"/>
  <c r="Q97" i="4"/>
  <c r="M97" i="4" s="1"/>
  <c r="O97" i="4"/>
  <c r="O98" i="4" s="1"/>
  <c r="AA97" i="4" s="1"/>
  <c r="K97" i="4"/>
  <c r="AA96" i="4"/>
  <c r="Q96" i="4"/>
  <c r="D96" i="4"/>
  <c r="AB95" i="4"/>
  <c r="AA95" i="4"/>
  <c r="Z95" i="4"/>
  <c r="Y95" i="4"/>
  <c r="Y93" i="4" s="1"/>
  <c r="X95" i="4"/>
  <c r="W95" i="4"/>
  <c r="W93" i="4" s="1"/>
  <c r="V95" i="4"/>
  <c r="U95" i="4"/>
  <c r="T95" i="4"/>
  <c r="S95" i="4"/>
  <c r="H95" i="4"/>
  <c r="T94" i="4" s="1"/>
  <c r="Q94" i="4"/>
  <c r="M94" i="4" s="1"/>
  <c r="M95" i="4" s="1"/>
  <c r="Y94" i="4" s="1"/>
  <c r="P94" i="4"/>
  <c r="P95" i="4" s="1"/>
  <c r="AB94" i="4" s="1"/>
  <c r="N94" i="4"/>
  <c r="Z93" i="4" s="1"/>
  <c r="L94" i="4"/>
  <c r="X93" i="4" s="1"/>
  <c r="K94" i="4"/>
  <c r="K95" i="4" s="1"/>
  <c r="J94" i="4"/>
  <c r="J95" i="4" s="1"/>
  <c r="V94" i="4" s="1"/>
  <c r="H94" i="4"/>
  <c r="T93" i="4" s="1"/>
  <c r="AB93" i="4"/>
  <c r="Q93" i="4"/>
  <c r="D93" i="4"/>
  <c r="AD90" i="4"/>
  <c r="AC90" i="4"/>
  <c r="AB90" i="4"/>
  <c r="AA90" i="4"/>
  <c r="AA88" i="4" s="1"/>
  <c r="Z90" i="4"/>
  <c r="Y90" i="4"/>
  <c r="X90" i="4"/>
  <c r="W90" i="4"/>
  <c r="W88" i="4" s="1"/>
  <c r="V90" i="4"/>
  <c r="U90" i="4"/>
  <c r="T90" i="4"/>
  <c r="S90" i="4"/>
  <c r="P90" i="4"/>
  <c r="AB89" i="4" s="1"/>
  <c r="N90" i="4"/>
  <c r="Z89" i="4" s="1"/>
  <c r="V89" i="4"/>
  <c r="Q89" i="4"/>
  <c r="M89" i="4" s="1"/>
  <c r="M90" i="4" s="1"/>
  <c r="Y89" i="4" s="1"/>
  <c r="P89" i="4"/>
  <c r="AB88" i="4" s="1"/>
  <c r="O89" i="4"/>
  <c r="O90" i="4" s="1"/>
  <c r="AA89" i="4" s="1"/>
  <c r="N89" i="4"/>
  <c r="L89" i="4"/>
  <c r="X88" i="4" s="1"/>
  <c r="K89" i="4"/>
  <c r="K90" i="4" s="1"/>
  <c r="W89" i="4" s="1"/>
  <c r="J89" i="4"/>
  <c r="J90" i="4" s="1"/>
  <c r="I89" i="4"/>
  <c r="I90" i="4" s="1"/>
  <c r="U89" i="4" s="1"/>
  <c r="H89" i="4"/>
  <c r="H90" i="4" s="1"/>
  <c r="Z88" i="4"/>
  <c r="V88" i="4"/>
  <c r="T88" i="4"/>
  <c r="Q88" i="4"/>
  <c r="D88" i="4"/>
  <c r="AB87" i="4"/>
  <c r="AA87" i="4"/>
  <c r="Z87" i="4"/>
  <c r="Y87" i="4"/>
  <c r="X87" i="4"/>
  <c r="W87" i="4"/>
  <c r="V87" i="4"/>
  <c r="U87" i="4"/>
  <c r="T87" i="4"/>
  <c r="S87" i="4"/>
  <c r="Q86" i="4"/>
  <c r="N86" i="4" s="1"/>
  <c r="N87" i="4" s="1"/>
  <c r="Z86" i="4" s="1"/>
  <c r="O86" i="4"/>
  <c r="O87" i="4" s="1"/>
  <c r="AA86" i="4" s="1"/>
  <c r="Q85" i="4"/>
  <c r="D85" i="4"/>
  <c r="AD84" i="4"/>
  <c r="AB84" i="4"/>
  <c r="AA84" i="4"/>
  <c r="Z84" i="4"/>
  <c r="Y84" i="4"/>
  <c r="X84" i="4"/>
  <c r="W84" i="4"/>
  <c r="V84" i="4"/>
  <c r="U84" i="4"/>
  <c r="T84" i="4"/>
  <c r="S84" i="4"/>
  <c r="M84" i="4"/>
  <c r="Y83" i="4"/>
  <c r="Q83" i="4"/>
  <c r="K83" i="4" s="1"/>
  <c r="O83" i="4"/>
  <c r="O84" i="4" s="1"/>
  <c r="AA83" i="4" s="1"/>
  <c r="M83" i="4"/>
  <c r="L83" i="4"/>
  <c r="L84" i="4" s="1"/>
  <c r="X83" i="4" s="1"/>
  <c r="I83" i="4"/>
  <c r="U82" i="4" s="1"/>
  <c r="AA82" i="4"/>
  <c r="Y82" i="4"/>
  <c r="Q82" i="4"/>
  <c r="D82" i="4"/>
  <c r="AB81" i="4"/>
  <c r="AA81" i="4"/>
  <c r="Z81" i="4"/>
  <c r="Y81" i="4"/>
  <c r="X81" i="4"/>
  <c r="W81" i="4"/>
  <c r="V81" i="4"/>
  <c r="U81" i="4"/>
  <c r="T81" i="4"/>
  <c r="S81" i="4"/>
  <c r="Q80" i="4"/>
  <c r="K80" i="4" s="1"/>
  <c r="K81" i="4" s="1"/>
  <c r="W80" i="4" s="1"/>
  <c r="P80" i="4"/>
  <c r="P81" i="4" s="1"/>
  <c r="AB80" i="4" s="1"/>
  <c r="N80" i="4"/>
  <c r="N81" i="4" s="1"/>
  <c r="Z80" i="4" s="1"/>
  <c r="L80" i="4"/>
  <c r="X79" i="4" s="1"/>
  <c r="J80" i="4"/>
  <c r="J81" i="4" s="1"/>
  <c r="V80" i="4" s="1"/>
  <c r="AB79" i="4"/>
  <c r="Z79" i="4"/>
  <c r="Q79" i="4"/>
  <c r="D79" i="4"/>
  <c r="AD76" i="4"/>
  <c r="AB76" i="4"/>
  <c r="AA76" i="4"/>
  <c r="Z76" i="4"/>
  <c r="Y76" i="4"/>
  <c r="X76" i="4"/>
  <c r="W76" i="4"/>
  <c r="V76" i="4"/>
  <c r="U76" i="4"/>
  <c r="T76" i="4"/>
  <c r="S76" i="4"/>
  <c r="Q75" i="4"/>
  <c r="O75" i="4" s="1"/>
  <c r="O76" i="4" s="1"/>
  <c r="AA75" i="4" s="1"/>
  <c r="P75" i="4"/>
  <c r="P76" i="4" s="1"/>
  <c r="AB75" i="4" s="1"/>
  <c r="AA74" i="4"/>
  <c r="Q74" i="4"/>
  <c r="D74" i="4"/>
  <c r="AB73" i="4"/>
  <c r="AA73" i="4"/>
  <c r="Z73" i="4"/>
  <c r="Y73" i="4"/>
  <c r="X73" i="4"/>
  <c r="X71" i="4" s="1"/>
  <c r="W73" i="4"/>
  <c r="V73" i="4"/>
  <c r="U73" i="4"/>
  <c r="T73" i="4"/>
  <c r="S73" i="4"/>
  <c r="L73" i="4"/>
  <c r="X72" i="4" s="1"/>
  <c r="I73" i="4"/>
  <c r="U72" i="4" s="1"/>
  <c r="Q72" i="4"/>
  <c r="L72" i="4" s="1"/>
  <c r="P72" i="4"/>
  <c r="P73" i="4" s="1"/>
  <c r="AB72" i="4" s="1"/>
  <c r="N72" i="4"/>
  <c r="N73" i="4" s="1"/>
  <c r="Z72" i="4" s="1"/>
  <c r="K72" i="4"/>
  <c r="K73" i="4" s="1"/>
  <c r="W72" i="4" s="1"/>
  <c r="J72" i="4"/>
  <c r="J73" i="4" s="1"/>
  <c r="V72" i="4" s="1"/>
  <c r="I72" i="4"/>
  <c r="U71" i="4"/>
  <c r="Q71" i="4"/>
  <c r="D71" i="4"/>
  <c r="AD70" i="4"/>
  <c r="AB70" i="4"/>
  <c r="AA70" i="4"/>
  <c r="Z70" i="4"/>
  <c r="Y70" i="4"/>
  <c r="X70" i="4"/>
  <c r="W70" i="4"/>
  <c r="V70" i="4"/>
  <c r="U70" i="4"/>
  <c r="T70" i="4"/>
  <c r="S70" i="4"/>
  <c r="Q69" i="4"/>
  <c r="Q68" i="4"/>
  <c r="D68" i="4"/>
  <c r="AB67" i="4"/>
  <c r="AA67" i="4"/>
  <c r="Z67" i="4"/>
  <c r="Y67" i="4"/>
  <c r="X67" i="4"/>
  <c r="W67" i="4"/>
  <c r="W65" i="4" s="1"/>
  <c r="V67" i="4"/>
  <c r="U67" i="4"/>
  <c r="T67" i="4"/>
  <c r="S67" i="4"/>
  <c r="Q66" i="4"/>
  <c r="P66" i="4" s="1"/>
  <c r="N66" i="4"/>
  <c r="K66" i="4"/>
  <c r="K67" i="4" s="1"/>
  <c r="J66" i="4"/>
  <c r="J67" i="4" s="1"/>
  <c r="V66" i="4" s="1"/>
  <c r="V65" i="4"/>
  <c r="Q65" i="4"/>
  <c r="D65" i="4"/>
  <c r="AD62" i="4"/>
  <c r="AB62" i="4"/>
  <c r="AA62" i="4"/>
  <c r="AA60" i="4" s="1"/>
  <c r="Z62" i="4"/>
  <c r="Y62" i="4"/>
  <c r="Y60" i="4" s="1"/>
  <c r="X62" i="4"/>
  <c r="W62" i="4"/>
  <c r="V62" i="4"/>
  <c r="U62" i="4"/>
  <c r="T62" i="4"/>
  <c r="T60" i="4" s="1"/>
  <c r="S62" i="4"/>
  <c r="M62" i="4"/>
  <c r="Y61" i="4" s="1"/>
  <c r="J62" i="4"/>
  <c r="V61" i="4" s="1"/>
  <c r="I62" i="4"/>
  <c r="U61" i="4" s="1"/>
  <c r="H62" i="4"/>
  <c r="T61" i="4" s="1"/>
  <c r="Q61" i="4"/>
  <c r="M61" i="4" s="1"/>
  <c r="P61" i="4"/>
  <c r="P62" i="4" s="1"/>
  <c r="AB61" i="4" s="1"/>
  <c r="O61" i="4"/>
  <c r="O62" i="4" s="1"/>
  <c r="N61" i="4"/>
  <c r="N62" i="4" s="1"/>
  <c r="Z61" i="4" s="1"/>
  <c r="K61" i="4"/>
  <c r="K62" i="4" s="1"/>
  <c r="J61" i="4"/>
  <c r="I61" i="4"/>
  <c r="H61" i="4"/>
  <c r="AB60" i="4"/>
  <c r="Z60" i="4"/>
  <c r="V60" i="4"/>
  <c r="U60" i="4"/>
  <c r="Q60" i="4"/>
  <c r="D60" i="4"/>
  <c r="AB59" i="4"/>
  <c r="AA59" i="4"/>
  <c r="Z59" i="4"/>
  <c r="Y59" i="4"/>
  <c r="X59" i="4"/>
  <c r="W59" i="4"/>
  <c r="V59" i="4"/>
  <c r="U59" i="4"/>
  <c r="T59" i="4"/>
  <c r="S59" i="4"/>
  <c r="Q58" i="4"/>
  <c r="O58" i="4" s="1"/>
  <c r="K58" i="4"/>
  <c r="K59" i="4" s="1"/>
  <c r="W58" i="4" s="1"/>
  <c r="Q57" i="4"/>
  <c r="D57" i="4"/>
  <c r="AD56" i="4"/>
  <c r="AB56" i="4"/>
  <c r="AA56" i="4"/>
  <c r="Z56" i="4"/>
  <c r="Z54" i="4" s="1"/>
  <c r="Y56" i="4"/>
  <c r="X56" i="4"/>
  <c r="X54" i="4" s="1"/>
  <c r="W56" i="4"/>
  <c r="V56" i="4"/>
  <c r="U56" i="4"/>
  <c r="T56" i="4"/>
  <c r="S56" i="4"/>
  <c r="L56" i="4"/>
  <c r="I56" i="4"/>
  <c r="U55" i="4" s="1"/>
  <c r="Y55" i="4"/>
  <c r="T55" i="4"/>
  <c r="Q55" i="4"/>
  <c r="L55" i="4" s="1"/>
  <c r="O55" i="4"/>
  <c r="AA54" i="4" s="1"/>
  <c r="N55" i="4"/>
  <c r="N56" i="4" s="1"/>
  <c r="M55" i="4"/>
  <c r="M56" i="4" s="1"/>
  <c r="K55" i="4"/>
  <c r="K56" i="4" s="1"/>
  <c r="W55" i="4" s="1"/>
  <c r="I55" i="4"/>
  <c r="H55" i="4"/>
  <c r="H56" i="4" s="1"/>
  <c r="W54" i="4"/>
  <c r="U54" i="4"/>
  <c r="Q54" i="4"/>
  <c r="D54" i="4"/>
  <c r="AB53" i="4"/>
  <c r="AA53" i="4"/>
  <c r="Z53" i="4"/>
  <c r="Y53" i="4"/>
  <c r="X53" i="4"/>
  <c r="W53" i="4"/>
  <c r="V53" i="4"/>
  <c r="U53" i="4"/>
  <c r="AC53" i="4" s="1"/>
  <c r="T53" i="4"/>
  <c r="S53" i="4"/>
  <c r="Q52" i="4"/>
  <c r="I52" i="4" s="1"/>
  <c r="I53" i="4" s="1"/>
  <c r="U52" i="4" s="1"/>
  <c r="Q51" i="4"/>
  <c r="D51" i="4"/>
  <c r="AD48" i="4"/>
  <c r="AB48" i="4"/>
  <c r="AA48" i="4"/>
  <c r="Z48" i="4"/>
  <c r="Y48" i="4"/>
  <c r="X48" i="4"/>
  <c r="W48" i="4"/>
  <c r="V48" i="4"/>
  <c r="U48" i="4"/>
  <c r="T48" i="4"/>
  <c r="AC48" i="4" s="1"/>
  <c r="S48" i="4"/>
  <c r="Q47" i="4"/>
  <c r="O47" i="4" s="1"/>
  <c r="M47" i="4"/>
  <c r="M48" i="4" s="1"/>
  <c r="Y47" i="4" s="1"/>
  <c r="K47" i="4"/>
  <c r="W46" i="4" s="1"/>
  <c r="I47" i="4"/>
  <c r="U46" i="4" s="1"/>
  <c r="Y46" i="4"/>
  <c r="Q46" i="4"/>
  <c r="D46" i="4"/>
  <c r="AB45" i="4"/>
  <c r="AA45" i="4"/>
  <c r="Z45" i="4"/>
  <c r="Y45" i="4"/>
  <c r="X45" i="4"/>
  <c r="W45" i="4"/>
  <c r="V45" i="4"/>
  <c r="U45" i="4"/>
  <c r="AC45" i="4" s="1"/>
  <c r="T45" i="4"/>
  <c r="S45" i="4"/>
  <c r="Q44" i="4"/>
  <c r="P44" i="4" s="1"/>
  <c r="N44" i="4"/>
  <c r="N45" i="4" s="1"/>
  <c r="Z44" i="4" s="1"/>
  <c r="J44" i="4"/>
  <c r="V43" i="4" s="1"/>
  <c r="H44" i="4"/>
  <c r="T43" i="4" s="1"/>
  <c r="Z43" i="4"/>
  <c r="Q43" i="4"/>
  <c r="D43" i="4"/>
  <c r="AD42" i="4"/>
  <c r="AB42" i="4"/>
  <c r="AA42" i="4"/>
  <c r="AA40" i="4" s="1"/>
  <c r="Z42" i="4"/>
  <c r="Y42" i="4"/>
  <c r="Y40" i="4" s="1"/>
  <c r="X42" i="4"/>
  <c r="W42" i="4"/>
  <c r="W40" i="4" s="1"/>
  <c r="V42" i="4"/>
  <c r="U42" i="4"/>
  <c r="U40" i="4" s="1"/>
  <c r="T42" i="4"/>
  <c r="AC42" i="4" s="1"/>
  <c r="S42" i="4"/>
  <c r="N42" i="4"/>
  <c r="J42" i="4"/>
  <c r="V41" i="4" s="1"/>
  <c r="Z41" i="4"/>
  <c r="Q41" i="4"/>
  <c r="M41" i="4" s="1"/>
  <c r="M42" i="4" s="1"/>
  <c r="Y41" i="4" s="1"/>
  <c r="P41" i="4"/>
  <c r="AB40" i="4" s="1"/>
  <c r="O41" i="4"/>
  <c r="O42" i="4" s="1"/>
  <c r="N41" i="4"/>
  <c r="L41" i="4"/>
  <c r="X40" i="4" s="1"/>
  <c r="K41" i="4"/>
  <c r="K42" i="4" s="1"/>
  <c r="J41" i="4"/>
  <c r="V40" i="4" s="1"/>
  <c r="I41" i="4"/>
  <c r="I42" i="4" s="1"/>
  <c r="U41" i="4" s="1"/>
  <c r="H41" i="4"/>
  <c r="H42" i="4" s="1"/>
  <c r="Z40" i="4"/>
  <c r="Q40" i="4"/>
  <c r="D40" i="4"/>
  <c r="AB39" i="4"/>
  <c r="AA39" i="4"/>
  <c r="Z39" i="4"/>
  <c r="Y39" i="4"/>
  <c r="Y37" i="4" s="1"/>
  <c r="X39" i="4"/>
  <c r="W39" i="4"/>
  <c r="V39" i="4"/>
  <c r="U39" i="4"/>
  <c r="T39" i="4"/>
  <c r="S39" i="4"/>
  <c r="Q38" i="4"/>
  <c r="O38" i="4"/>
  <c r="O39" i="4" s="1"/>
  <c r="AA38" i="4" s="1"/>
  <c r="M38" i="4"/>
  <c r="M39" i="4" s="1"/>
  <c r="Y38" i="4" s="1"/>
  <c r="K38" i="4"/>
  <c r="K39" i="4" s="1"/>
  <c r="W38" i="4" s="1"/>
  <c r="I38" i="4"/>
  <c r="I39" i="4" s="1"/>
  <c r="U38" i="4" s="1"/>
  <c r="H38" i="4"/>
  <c r="H39" i="4" s="1"/>
  <c r="T38" i="4" s="1"/>
  <c r="Q37" i="4"/>
  <c r="D37" i="4"/>
  <c r="AD34" i="4"/>
  <c r="AC34" i="4"/>
  <c r="AB34" i="4"/>
  <c r="AA34" i="4"/>
  <c r="Z34" i="4"/>
  <c r="Y34" i="4"/>
  <c r="X34" i="4"/>
  <c r="W34" i="4"/>
  <c r="V34" i="4"/>
  <c r="U34" i="4"/>
  <c r="T34" i="4"/>
  <c r="S34" i="4"/>
  <c r="M34" i="4"/>
  <c r="Y33" i="4" s="1"/>
  <c r="I34" i="4"/>
  <c r="U33" i="4"/>
  <c r="Q33" i="4"/>
  <c r="O33" i="4"/>
  <c r="AA32" i="4" s="1"/>
  <c r="M33" i="4"/>
  <c r="L33" i="4"/>
  <c r="L34" i="4" s="1"/>
  <c r="X33" i="4" s="1"/>
  <c r="K33" i="4"/>
  <c r="K34" i="4" s="1"/>
  <c r="W33" i="4" s="1"/>
  <c r="I33" i="4"/>
  <c r="U32" i="4" s="1"/>
  <c r="Y32" i="4"/>
  <c r="W32" i="4"/>
  <c r="Q32" i="4"/>
  <c r="D32" i="4"/>
  <c r="AB31" i="4"/>
  <c r="AA31" i="4"/>
  <c r="Z31" i="4"/>
  <c r="Y31" i="4"/>
  <c r="AC31" i="4" s="1"/>
  <c r="X31" i="4"/>
  <c r="W31" i="4"/>
  <c r="V31" i="4"/>
  <c r="U31" i="4"/>
  <c r="T31" i="4"/>
  <c r="S31" i="4"/>
  <c r="Q30" i="4"/>
  <c r="P30" i="4" s="1"/>
  <c r="K30" i="4"/>
  <c r="K31" i="4" s="1"/>
  <c r="W30" i="4" s="1"/>
  <c r="Q29" i="4"/>
  <c r="D29" i="4"/>
  <c r="AD28" i="4"/>
  <c r="AB28" i="4"/>
  <c r="AA28" i="4"/>
  <c r="Z28" i="4"/>
  <c r="Z26" i="4" s="1"/>
  <c r="Y28" i="4"/>
  <c r="X28" i="4"/>
  <c r="W28" i="4"/>
  <c r="V28" i="4"/>
  <c r="U28" i="4"/>
  <c r="U26" i="4" s="1"/>
  <c r="T28" i="4"/>
  <c r="T26" i="4" s="1"/>
  <c r="S28" i="4"/>
  <c r="P28" i="4"/>
  <c r="AB27" i="4" s="1"/>
  <c r="N28" i="4"/>
  <c r="Z27" i="4" s="1"/>
  <c r="H28" i="4"/>
  <c r="Q27" i="4"/>
  <c r="K27" i="4" s="1"/>
  <c r="K28" i="4" s="1"/>
  <c r="W27" i="4" s="1"/>
  <c r="P27" i="4"/>
  <c r="O27" i="4"/>
  <c r="O28" i="4" s="1"/>
  <c r="AA27" i="4" s="1"/>
  <c r="N27" i="4"/>
  <c r="L27" i="4"/>
  <c r="X26" i="4" s="1"/>
  <c r="J27" i="4"/>
  <c r="J28" i="4" s="1"/>
  <c r="V27" i="4" s="1"/>
  <c r="I27" i="4"/>
  <c r="I28" i="4" s="1"/>
  <c r="H27" i="4"/>
  <c r="AB26" i="4"/>
  <c r="V26" i="4"/>
  <c r="Q26" i="4"/>
  <c r="D26" i="4"/>
  <c r="AB25" i="4"/>
  <c r="AA25" i="4"/>
  <c r="Z25" i="4"/>
  <c r="Y25" i="4"/>
  <c r="X25" i="4"/>
  <c r="W25" i="4"/>
  <c r="V25" i="4"/>
  <c r="U25" i="4"/>
  <c r="T25" i="4"/>
  <c r="S25" i="4"/>
  <c r="Q24" i="4"/>
  <c r="M24" i="4" s="1"/>
  <c r="O24" i="4"/>
  <c r="AA23" i="4" s="1"/>
  <c r="N24" i="4"/>
  <c r="N25" i="4" s="1"/>
  <c r="Z24" i="4" s="1"/>
  <c r="I24" i="4"/>
  <c r="U23" i="4" s="1"/>
  <c r="Q23" i="4"/>
  <c r="D23" i="4"/>
  <c r="AD20" i="4"/>
  <c r="AB20" i="4"/>
  <c r="AA20" i="4"/>
  <c r="Z20" i="4"/>
  <c r="Y20" i="4"/>
  <c r="X20" i="4"/>
  <c r="W20" i="4"/>
  <c r="V20" i="4"/>
  <c r="AC20" i="4" s="1"/>
  <c r="U20" i="4"/>
  <c r="T20" i="4"/>
  <c r="S20" i="4"/>
  <c r="Q19" i="4"/>
  <c r="O19" i="4" s="1"/>
  <c r="M19" i="4"/>
  <c r="M20" i="4" s="1"/>
  <c r="Y19" i="4" s="1"/>
  <c r="K19" i="4"/>
  <c r="K20" i="4" s="1"/>
  <c r="W19" i="4" s="1"/>
  <c r="W18" i="4"/>
  <c r="Q18" i="4"/>
  <c r="D18" i="4"/>
  <c r="AB17" i="4"/>
  <c r="AA17" i="4"/>
  <c r="Z17" i="4"/>
  <c r="Y17" i="4"/>
  <c r="X17" i="4"/>
  <c r="W17" i="4"/>
  <c r="V17" i="4"/>
  <c r="V15" i="4" s="1"/>
  <c r="U17" i="4"/>
  <c r="AC17" i="4" s="1"/>
  <c r="T17" i="4"/>
  <c r="S17" i="4"/>
  <c r="N17" i="4"/>
  <c r="J17" i="4"/>
  <c r="V16" i="4" s="1"/>
  <c r="Z16" i="4"/>
  <c r="Q16" i="4"/>
  <c r="H16" i="4" s="1"/>
  <c r="P16" i="4"/>
  <c r="P17" i="4" s="1"/>
  <c r="AB16" i="4" s="1"/>
  <c r="N16" i="4"/>
  <c r="L16" i="4"/>
  <c r="X15" i="4" s="1"/>
  <c r="K16" i="4"/>
  <c r="K17" i="4" s="1"/>
  <c r="W16" i="4" s="1"/>
  <c r="J16" i="4"/>
  <c r="AB15" i="4"/>
  <c r="Z15" i="4"/>
  <c r="W15" i="4"/>
  <c r="Q15" i="4"/>
  <c r="D15" i="4"/>
  <c r="AD14" i="4"/>
  <c r="AB14" i="4"/>
  <c r="AA14" i="4"/>
  <c r="Z14" i="4"/>
  <c r="Y14" i="4"/>
  <c r="X14" i="4"/>
  <c r="W14" i="4"/>
  <c r="V14" i="4"/>
  <c r="U14" i="4"/>
  <c r="T14" i="4"/>
  <c r="S14" i="4"/>
  <c r="Q13" i="4"/>
  <c r="M13" i="4" s="1"/>
  <c r="M14" i="4" s="1"/>
  <c r="Y13" i="4" s="1"/>
  <c r="L13" i="4"/>
  <c r="L14" i="4" s="1"/>
  <c r="X13" i="4" s="1"/>
  <c r="K13" i="4"/>
  <c r="K14" i="4" s="1"/>
  <c r="W13" i="4" s="1"/>
  <c r="H13" i="4"/>
  <c r="H14" i="4" s="1"/>
  <c r="Y12" i="4"/>
  <c r="Q12" i="4"/>
  <c r="D12" i="4"/>
  <c r="AB11" i="4"/>
  <c r="AA11" i="4"/>
  <c r="AA9" i="4" s="1"/>
  <c r="Z11" i="4"/>
  <c r="Y11" i="4"/>
  <c r="X11" i="4"/>
  <c r="W11" i="4"/>
  <c r="V11" i="4"/>
  <c r="U11" i="4"/>
  <c r="T11" i="4"/>
  <c r="S11" i="4"/>
  <c r="Q10" i="4"/>
  <c r="L10" i="4" s="1"/>
  <c r="L11" i="4" s="1"/>
  <c r="X10" i="4" s="1"/>
  <c r="P10" i="4"/>
  <c r="P11" i="4" s="1"/>
  <c r="AB10" i="4" s="1"/>
  <c r="O10" i="4"/>
  <c r="O11" i="4" s="1"/>
  <c r="AA10" i="4" s="1"/>
  <c r="N10" i="4"/>
  <c r="N11" i="4" s="1"/>
  <c r="Z10" i="4" s="1"/>
  <c r="K10" i="4"/>
  <c r="K11" i="4" s="1"/>
  <c r="W10" i="4" s="1"/>
  <c r="J10" i="4"/>
  <c r="J11" i="4" s="1"/>
  <c r="V10" i="4" s="1"/>
  <c r="I10" i="4"/>
  <c r="I11" i="4" s="1"/>
  <c r="U10" i="4" s="1"/>
  <c r="H10" i="4"/>
  <c r="H11" i="4" s="1"/>
  <c r="Z9" i="4"/>
  <c r="X9" i="4"/>
  <c r="Q9" i="4"/>
  <c r="D9" i="4"/>
  <c r="T13" i="4" l="1"/>
  <c r="AA12" i="4"/>
  <c r="O48" i="4"/>
  <c r="AA47" i="4" s="1"/>
  <c r="AA46" i="4"/>
  <c r="T15" i="4"/>
  <c r="H17" i="4"/>
  <c r="Y23" i="4"/>
  <c r="M25" i="4"/>
  <c r="Y24" i="4" s="1"/>
  <c r="T41" i="4"/>
  <c r="T10" i="4"/>
  <c r="AC10" i="4" s="1"/>
  <c r="V46" i="4"/>
  <c r="AB29" i="4"/>
  <c r="P31" i="4"/>
  <c r="AB30" i="4" s="1"/>
  <c r="O59" i="4"/>
  <c r="AA58" i="4" s="1"/>
  <c r="AA57" i="4"/>
  <c r="X23" i="4"/>
  <c r="P45" i="4"/>
  <c r="AB44" i="4" s="1"/>
  <c r="AB43" i="4"/>
  <c r="O20" i="4"/>
  <c r="AA19" i="4" s="1"/>
  <c r="AA18" i="4"/>
  <c r="T57" i="4"/>
  <c r="AB9" i="4"/>
  <c r="I13" i="4"/>
  <c r="Y18" i="4"/>
  <c r="K24" i="4"/>
  <c r="I25" i="4"/>
  <c r="U24" i="4" s="1"/>
  <c r="L30" i="4"/>
  <c r="J38" i="4"/>
  <c r="J39" i="4" s="1"/>
  <c r="V38" i="4" s="1"/>
  <c r="P38" i="4"/>
  <c r="P39" i="4" s="1"/>
  <c r="AB38" i="4" s="1"/>
  <c r="N38" i="4"/>
  <c r="N39" i="4" s="1"/>
  <c r="Z38" i="4" s="1"/>
  <c r="L38" i="4"/>
  <c r="L42" i="4"/>
  <c r="X41" i="4" s="1"/>
  <c r="U51" i="4"/>
  <c r="V51" i="4"/>
  <c r="Y54" i="4"/>
  <c r="M58" i="4"/>
  <c r="J13" i="4"/>
  <c r="Z23" i="4"/>
  <c r="U27" i="4"/>
  <c r="W26" i="4"/>
  <c r="N30" i="4"/>
  <c r="U37" i="4"/>
  <c r="T40" i="4"/>
  <c r="AC40" i="4" s="1"/>
  <c r="AA41" i="4"/>
  <c r="H45" i="4"/>
  <c r="X46" i="4"/>
  <c r="AC76" i="4"/>
  <c r="T74" i="4"/>
  <c r="V79" i="4"/>
  <c r="T100" i="4"/>
  <c r="X32" i="4"/>
  <c r="W37" i="4"/>
  <c r="T37" i="4"/>
  <c r="AC39" i="4"/>
  <c r="P42" i="4"/>
  <c r="AB41" i="4" s="1"/>
  <c r="I48" i="4"/>
  <c r="U47" i="4" s="1"/>
  <c r="L58" i="4"/>
  <c r="L59" i="4" s="1"/>
  <c r="X58" i="4" s="1"/>
  <c r="N58" i="4"/>
  <c r="N59" i="4" s="1"/>
  <c r="Z58" i="4" s="1"/>
  <c r="I58" i="4"/>
  <c r="I59" i="4" s="1"/>
  <c r="U58" i="4" s="1"/>
  <c r="H58" i="4"/>
  <c r="H59" i="4" s="1"/>
  <c r="P58" i="4"/>
  <c r="P59" i="4" s="1"/>
  <c r="AB58" i="4" s="1"/>
  <c r="Z102" i="4"/>
  <c r="N104" i="4"/>
  <c r="Z103" i="4" s="1"/>
  <c r="T12" i="4"/>
  <c r="W12" i="4"/>
  <c r="Q28" i="4"/>
  <c r="M30" i="4"/>
  <c r="M31" i="4" s="1"/>
  <c r="Y30" i="4" s="1"/>
  <c r="I30" i="4"/>
  <c r="O30" i="4"/>
  <c r="J45" i="4"/>
  <c r="V44" i="4" s="1"/>
  <c r="K48" i="4"/>
  <c r="W47" i="4" s="1"/>
  <c r="Z46" i="4"/>
  <c r="X55" i="4"/>
  <c r="W66" i="4"/>
  <c r="Z71" i="4"/>
  <c r="AC11" i="4"/>
  <c r="N13" i="4"/>
  <c r="L17" i="4"/>
  <c r="X16" i="4" s="1"/>
  <c r="I19" i="4"/>
  <c r="P24" i="4"/>
  <c r="P25" i="4" s="1"/>
  <c r="AB24" i="4" s="1"/>
  <c r="L24" i="4"/>
  <c r="L25" i="4" s="1"/>
  <c r="X24" i="4" s="1"/>
  <c r="J24" i="4"/>
  <c r="J25" i="4" s="1"/>
  <c r="V24" i="4" s="1"/>
  <c r="O25" i="4"/>
  <c r="AA24" i="4" s="1"/>
  <c r="V37" i="4"/>
  <c r="L44" i="4"/>
  <c r="L47" i="4"/>
  <c r="L48" i="4" s="1"/>
  <c r="X47" i="4" s="1"/>
  <c r="O56" i="4"/>
  <c r="AA55" i="4" s="1"/>
  <c r="AA61" i="4"/>
  <c r="W60" i="4"/>
  <c r="AC62" i="4"/>
  <c r="W61" i="4"/>
  <c r="N67" i="4"/>
  <c r="Z66" i="4" s="1"/>
  <c r="Z65" i="4"/>
  <c r="W82" i="4"/>
  <c r="K84" i="4"/>
  <c r="W83" i="4" s="1"/>
  <c r="Q90" i="4"/>
  <c r="T89" i="4"/>
  <c r="L95" i="4"/>
  <c r="X94" i="4" s="1"/>
  <c r="O109" i="4"/>
  <c r="AA108" i="4" s="1"/>
  <c r="AA107" i="4"/>
  <c r="O13" i="4"/>
  <c r="O14" i="4" s="1"/>
  <c r="AA13" i="4" s="1"/>
  <c r="L28" i="4"/>
  <c r="X27" i="4" s="1"/>
  <c r="AA26" i="4"/>
  <c r="AA37" i="4"/>
  <c r="P67" i="4"/>
  <c r="AB66" i="4" s="1"/>
  <c r="AB65" i="4"/>
  <c r="I101" i="4"/>
  <c r="U100" i="4" s="1"/>
  <c r="U99" i="4"/>
  <c r="T9" i="4"/>
  <c r="M10" i="4"/>
  <c r="M11" i="4" s="1"/>
  <c r="Y10" i="4" s="1"/>
  <c r="V9" i="4"/>
  <c r="X12" i="4"/>
  <c r="P13" i="4"/>
  <c r="P14" i="4" s="1"/>
  <c r="AB13" i="4" s="1"/>
  <c r="O16" i="4"/>
  <c r="O17" i="4" s="1"/>
  <c r="AA16" i="4" s="1"/>
  <c r="M16" i="4"/>
  <c r="M17" i="4" s="1"/>
  <c r="Y16" i="4" s="1"/>
  <c r="I16" i="4"/>
  <c r="L19" i="4"/>
  <c r="L20" i="4" s="1"/>
  <c r="X19" i="4" s="1"/>
  <c r="H33" i="4"/>
  <c r="H34" i="4" s="1"/>
  <c r="P33" i="4"/>
  <c r="N33" i="4"/>
  <c r="N34" i="4" s="1"/>
  <c r="Z33" i="4" s="1"/>
  <c r="J33" i="4"/>
  <c r="O34" i="4"/>
  <c r="AA33" i="4" s="1"/>
  <c r="Z55" i="4"/>
  <c r="I84" i="4"/>
  <c r="U83" i="4" s="1"/>
  <c r="P52" i="4"/>
  <c r="P53" i="4" s="1"/>
  <c r="AB52" i="4" s="1"/>
  <c r="L52" i="4"/>
  <c r="J52" i="4"/>
  <c r="J53" i="4" s="1"/>
  <c r="V52" i="4" s="1"/>
  <c r="H52" i="4"/>
  <c r="U9" i="4"/>
  <c r="AC25" i="4"/>
  <c r="T23" i="4"/>
  <c r="AC28" i="4"/>
  <c r="O44" i="4"/>
  <c r="O45" i="4" s="1"/>
  <c r="AA44" i="4" s="1"/>
  <c r="M44" i="4"/>
  <c r="M45" i="4" s="1"/>
  <c r="Y44" i="4" s="1"/>
  <c r="K44" i="4"/>
  <c r="K45" i="4" s="1"/>
  <c r="W44" i="4" s="1"/>
  <c r="I44" i="4"/>
  <c r="I45" i="4" s="1"/>
  <c r="U44" i="4" s="1"/>
  <c r="N47" i="4"/>
  <c r="N48" i="4" s="1"/>
  <c r="Z47" i="4" s="1"/>
  <c r="J47" i="4"/>
  <c r="J48" i="4" s="1"/>
  <c r="V47" i="4" s="1"/>
  <c r="H47" i="4"/>
  <c r="H48" i="4" s="1"/>
  <c r="P47" i="4"/>
  <c r="P48" i="4" s="1"/>
  <c r="AB47" i="4" s="1"/>
  <c r="K52" i="4"/>
  <c r="AC56" i="4"/>
  <c r="Z74" i="4"/>
  <c r="W9" i="4"/>
  <c r="T27" i="4"/>
  <c r="Z37" i="4"/>
  <c r="M52" i="4"/>
  <c r="W57" i="4"/>
  <c r="AC59" i="4"/>
  <c r="P69" i="4"/>
  <c r="J69" i="4"/>
  <c r="J70" i="4" s="1"/>
  <c r="V69" i="4" s="1"/>
  <c r="O69" i="4"/>
  <c r="N69" i="4"/>
  <c r="N70" i="4" s="1"/>
  <c r="Z69" i="4" s="1"/>
  <c r="M69" i="4"/>
  <c r="M70" i="4" s="1"/>
  <c r="Y69" i="4" s="1"/>
  <c r="L69" i="4"/>
  <c r="K69" i="4"/>
  <c r="K70" i="4" s="1"/>
  <c r="W69" i="4" s="1"/>
  <c r="I69" i="4"/>
  <c r="H69" i="4"/>
  <c r="H70" i="4" s="1"/>
  <c r="Y96" i="4"/>
  <c r="M98" i="4"/>
  <c r="Y97" i="4" s="1"/>
  <c r="Y29" i="4"/>
  <c r="AC14" i="4"/>
  <c r="N19" i="4"/>
  <c r="N20" i="4" s="1"/>
  <c r="Z19" i="4" s="1"/>
  <c r="J19" i="4"/>
  <c r="J20" i="4" s="1"/>
  <c r="V19" i="4" s="1"/>
  <c r="H19" i="4"/>
  <c r="H20" i="4" s="1"/>
  <c r="P19" i="4"/>
  <c r="V23" i="4"/>
  <c r="H30" i="4"/>
  <c r="W29" i="4"/>
  <c r="U43" i="4"/>
  <c r="N52" i="4"/>
  <c r="U57" i="4"/>
  <c r="U65" i="4"/>
  <c r="W43" i="4"/>
  <c r="V18" i="4"/>
  <c r="H24" i="4"/>
  <c r="H25" i="4" s="1"/>
  <c r="J30" i="4"/>
  <c r="J31" i="4" s="1"/>
  <c r="V30" i="4" s="1"/>
  <c r="T32" i="4"/>
  <c r="AB37" i="4"/>
  <c r="W41" i="4"/>
  <c r="O52" i="4"/>
  <c r="J58" i="4"/>
  <c r="J59" i="4" s="1"/>
  <c r="V58" i="4" s="1"/>
  <c r="AC103" i="4"/>
  <c r="M27" i="4"/>
  <c r="M28" i="4" s="1"/>
  <c r="Y27" i="4" s="1"/>
  <c r="Z68" i="4"/>
  <c r="W71" i="4"/>
  <c r="O72" i="4"/>
  <c r="O73" i="4" s="1"/>
  <c r="AA72" i="4" s="1"/>
  <c r="AB74" i="4"/>
  <c r="U88" i="4"/>
  <c r="N95" i="4"/>
  <c r="Z94" i="4" s="1"/>
  <c r="T102" i="4"/>
  <c r="AC112" i="4"/>
  <c r="T125" i="4"/>
  <c r="I66" i="4"/>
  <c r="I67" i="4" s="1"/>
  <c r="U66" i="4" s="1"/>
  <c r="O66" i="4"/>
  <c r="H75" i="4"/>
  <c r="H76" i="4" s="1"/>
  <c r="L81" i="4"/>
  <c r="X80" i="4" s="1"/>
  <c r="AA85" i="4"/>
  <c r="AC95" i="4"/>
  <c r="AB113" i="4"/>
  <c r="I75" i="4"/>
  <c r="I76" i="4" s="1"/>
  <c r="U75" i="4" s="1"/>
  <c r="AC81" i="4"/>
  <c r="H97" i="4"/>
  <c r="H98" i="4" s="1"/>
  <c r="P97" i="4"/>
  <c r="N97" i="4"/>
  <c r="N98" i="4" s="1"/>
  <c r="Z97" i="4" s="1"/>
  <c r="L97" i="4"/>
  <c r="L98" i="4" s="1"/>
  <c r="X97" i="4" s="1"/>
  <c r="J97" i="4"/>
  <c r="J98" i="4" s="1"/>
  <c r="V97" i="4" s="1"/>
  <c r="Y103" i="4"/>
  <c r="H109" i="4"/>
  <c r="P114" i="4"/>
  <c r="P115" i="4" s="1"/>
  <c r="AB114" i="4" s="1"/>
  <c r="O114" i="4"/>
  <c r="N114" i="4"/>
  <c r="N115" i="4" s="1"/>
  <c r="Z114" i="4" s="1"/>
  <c r="M114" i="4"/>
  <c r="L114" i="4"/>
  <c r="K114" i="4"/>
  <c r="J114" i="4"/>
  <c r="J115" i="4" s="1"/>
  <c r="V114" i="4" s="1"/>
  <c r="I114" i="4"/>
  <c r="H114" i="4"/>
  <c r="H115" i="4" s="1"/>
  <c r="Y116" i="4"/>
  <c r="AB57" i="4"/>
  <c r="AC70" i="4"/>
  <c r="AB71" i="4"/>
  <c r="J75" i="4"/>
  <c r="AC84" i="4"/>
  <c r="I86" i="4"/>
  <c r="Z85" i="4"/>
  <c r="V127" i="4"/>
  <c r="L75" i="4"/>
  <c r="O80" i="4"/>
  <c r="M80" i="4"/>
  <c r="M81" i="4" s="1"/>
  <c r="Y80" i="4" s="1"/>
  <c r="I80" i="4"/>
  <c r="N83" i="4"/>
  <c r="N84" i="4" s="1"/>
  <c r="Z83" i="4" s="1"/>
  <c r="J83" i="4"/>
  <c r="J84" i="4" s="1"/>
  <c r="V83" i="4" s="1"/>
  <c r="H83" i="4"/>
  <c r="H84" i="4" s="1"/>
  <c r="P83" i="4"/>
  <c r="P84" i="4" s="1"/>
  <c r="AB83" i="4" s="1"/>
  <c r="K86" i="4"/>
  <c r="Y88" i="4"/>
  <c r="V93" i="4"/>
  <c r="AC98" i="4"/>
  <c r="J100" i="4"/>
  <c r="J101" i="4" s="1"/>
  <c r="V100" i="4" s="1"/>
  <c r="P100" i="4"/>
  <c r="P101" i="4" s="1"/>
  <c r="AB100" i="4" s="1"/>
  <c r="N100" i="4"/>
  <c r="N101" i="4" s="1"/>
  <c r="Z100" i="4" s="1"/>
  <c r="L100" i="4"/>
  <c r="L101" i="4" s="1"/>
  <c r="X100" i="4" s="1"/>
  <c r="T99" i="4"/>
  <c r="N109" i="4"/>
  <c r="Z108" i="4" s="1"/>
  <c r="AC126" i="4"/>
  <c r="T54" i="4"/>
  <c r="AC67" i="4"/>
  <c r="N75" i="4"/>
  <c r="N76" i="4" s="1"/>
  <c r="Z75" i="4" s="1"/>
  <c r="M86" i="4"/>
  <c r="AB85" i="4"/>
  <c r="AC115" i="4"/>
  <c r="N123" i="4"/>
  <c r="Z122" i="4" s="1"/>
  <c r="Z121" i="4"/>
  <c r="T128" i="4"/>
  <c r="L61" i="4"/>
  <c r="H66" i="4"/>
  <c r="T68" i="4"/>
  <c r="H72" i="4"/>
  <c r="H73" i="4" s="1"/>
  <c r="L90" i="4"/>
  <c r="X89" i="4" s="1"/>
  <c r="V96" i="4"/>
  <c r="V99" i="4"/>
  <c r="Z110" i="4"/>
  <c r="AC116" i="4"/>
  <c r="V124" i="4"/>
  <c r="K129" i="4"/>
  <c r="W128" i="4" s="1"/>
  <c r="W127" i="4"/>
  <c r="AC73" i="4"/>
  <c r="AC109" i="4"/>
  <c r="U107" i="4"/>
  <c r="V113" i="4"/>
  <c r="U121" i="4"/>
  <c r="I123" i="4"/>
  <c r="U122" i="4" s="1"/>
  <c r="M75" i="4"/>
  <c r="K75" i="4"/>
  <c r="K76" i="4" s="1"/>
  <c r="W75" i="4" s="1"/>
  <c r="W79" i="4"/>
  <c r="P86" i="4"/>
  <c r="P87" i="4" s="1"/>
  <c r="AB86" i="4" s="1"/>
  <c r="L86" i="4"/>
  <c r="J86" i="4"/>
  <c r="J87" i="4" s="1"/>
  <c r="V86" i="4" s="1"/>
  <c r="H86" i="4"/>
  <c r="H87" i="4" s="1"/>
  <c r="AC88" i="4"/>
  <c r="Y99" i="4"/>
  <c r="X99" i="4"/>
  <c r="V107" i="4"/>
  <c r="O112" i="4"/>
  <c r="AA111" i="4" s="1"/>
  <c r="AA110" i="4"/>
  <c r="V57" i="4"/>
  <c r="L66" i="4"/>
  <c r="V71" i="4"/>
  <c r="AC87" i="4"/>
  <c r="T85" i="4"/>
  <c r="Y130" i="4"/>
  <c r="M132" i="4"/>
  <c r="Y131" i="4" s="1"/>
  <c r="J55" i="4"/>
  <c r="J56" i="4" s="1"/>
  <c r="V55" i="4" s="1"/>
  <c r="AC55" i="4" s="1"/>
  <c r="P55" i="4"/>
  <c r="P56" i="4" s="1"/>
  <c r="AB55" i="4" s="1"/>
  <c r="M66" i="4"/>
  <c r="M67" i="4" s="1"/>
  <c r="Y66" i="4" s="1"/>
  <c r="T71" i="4"/>
  <c r="M72" i="4"/>
  <c r="H80" i="4"/>
  <c r="X82" i="4"/>
  <c r="W94" i="4"/>
  <c r="I97" i="4"/>
  <c r="Z96" i="4"/>
  <c r="Z99" i="4"/>
  <c r="AB107" i="4"/>
  <c r="P109" i="4"/>
  <c r="AB108" i="4" s="1"/>
  <c r="L118" i="4"/>
  <c r="X117" i="4" s="1"/>
  <c r="X116" i="4"/>
  <c r="I126" i="4"/>
  <c r="U125" i="4" s="1"/>
  <c r="U124" i="4"/>
  <c r="T131" i="4"/>
  <c r="O94" i="4"/>
  <c r="O95" i="4" s="1"/>
  <c r="AA94" i="4" s="1"/>
  <c r="AC101" i="4"/>
  <c r="I108" i="4"/>
  <c r="I109" i="4" s="1"/>
  <c r="U108" i="4" s="1"/>
  <c r="P111" i="4"/>
  <c r="P112" i="4" s="1"/>
  <c r="AB111" i="4" s="1"/>
  <c r="O122" i="4"/>
  <c r="O123" i="4" s="1"/>
  <c r="AA122" i="4" s="1"/>
  <c r="T124" i="4"/>
  <c r="J125" i="4"/>
  <c r="J126" i="4" s="1"/>
  <c r="V125" i="4" s="1"/>
  <c r="L128" i="4"/>
  <c r="L129" i="4" s="1"/>
  <c r="X128" i="4" s="1"/>
  <c r="AC129" i="4"/>
  <c r="K108" i="4"/>
  <c r="K109" i="4" s="1"/>
  <c r="W108" i="4" s="1"/>
  <c r="L125" i="4"/>
  <c r="L126" i="4" s="1"/>
  <c r="X125" i="4" s="1"/>
  <c r="N128" i="4"/>
  <c r="N129" i="4" s="1"/>
  <c r="Z128" i="4" s="1"/>
  <c r="I131" i="4"/>
  <c r="I132" i="4" s="1"/>
  <c r="U131" i="4" s="1"/>
  <c r="L108" i="4"/>
  <c r="K112" i="4"/>
  <c r="W111" i="4" s="1"/>
  <c r="H118" i="4"/>
  <c r="T122" i="4"/>
  <c r="AC122" i="4" s="1"/>
  <c r="J123" i="4"/>
  <c r="V122" i="4" s="1"/>
  <c r="M125" i="4"/>
  <c r="Y127" i="4"/>
  <c r="N132" i="4"/>
  <c r="Z131" i="4" s="1"/>
  <c r="K103" i="4"/>
  <c r="K104" i="4" s="1"/>
  <c r="W103" i="4" s="1"/>
  <c r="M108" i="4"/>
  <c r="M109" i="4" s="1"/>
  <c r="Y108" i="4" s="1"/>
  <c r="H111" i="4"/>
  <c r="H112" i="4" s="1"/>
  <c r="N125" i="4"/>
  <c r="N126" i="4" s="1"/>
  <c r="Z125" i="4" s="1"/>
  <c r="P128" i="4"/>
  <c r="P129" i="4" s="1"/>
  <c r="AB128" i="4" s="1"/>
  <c r="K131" i="4"/>
  <c r="K132" i="4" s="1"/>
  <c r="W131" i="4" s="1"/>
  <c r="I111" i="4"/>
  <c r="O125" i="4"/>
  <c r="I94" i="4"/>
  <c r="J111" i="4"/>
  <c r="P125" i="4"/>
  <c r="L111" i="4"/>
  <c r="L112" i="4" s="1"/>
  <c r="X111" i="4" s="1"/>
  <c r="M111" i="4"/>
  <c r="I128" i="4"/>
  <c r="V110" i="4" l="1"/>
  <c r="J112" i="4"/>
  <c r="V111" i="4" s="1"/>
  <c r="M73" i="4"/>
  <c r="Y72" i="4" s="1"/>
  <c r="Y71" i="4"/>
  <c r="P70" i="4"/>
  <c r="AB69" i="4" s="1"/>
  <c r="AB68" i="4"/>
  <c r="T47" i="4"/>
  <c r="AC47" i="4" s="1"/>
  <c r="Q48" i="4"/>
  <c r="T51" i="4"/>
  <c r="H53" i="4"/>
  <c r="I95" i="4"/>
  <c r="U93" i="4"/>
  <c r="Y124" i="4"/>
  <c r="M126" i="4"/>
  <c r="Y125" i="4" s="1"/>
  <c r="T86" i="4"/>
  <c r="T82" i="4"/>
  <c r="M87" i="4"/>
  <c r="Y86" i="4" s="1"/>
  <c r="Y85" i="4"/>
  <c r="O81" i="4"/>
  <c r="AA80" i="4" s="1"/>
  <c r="AA79" i="4"/>
  <c r="U130" i="4"/>
  <c r="AC130" i="4" s="1"/>
  <c r="Z51" i="4"/>
  <c r="N53" i="4"/>
  <c r="Z52" i="4" s="1"/>
  <c r="U15" i="4"/>
  <c r="I17" i="4"/>
  <c r="U16" i="4" s="1"/>
  <c r="V85" i="4"/>
  <c r="V82" i="4"/>
  <c r="AB23" i="4"/>
  <c r="AC23" i="4" s="1"/>
  <c r="T108" i="4"/>
  <c r="AA124" i="4"/>
  <c r="O126" i="4"/>
  <c r="AA125" i="4" s="1"/>
  <c r="AC125" i="4" s="1"/>
  <c r="AE126" i="4" s="1"/>
  <c r="L67" i="4"/>
  <c r="X66" i="4" s="1"/>
  <c r="X65" i="4"/>
  <c r="Q104" i="4"/>
  <c r="T72" i="4"/>
  <c r="AC72" i="4" s="1"/>
  <c r="T96" i="4"/>
  <c r="X74" i="4"/>
  <c r="L76" i="4"/>
  <c r="X75" i="4" s="1"/>
  <c r="AB99" i="4"/>
  <c r="AC99" i="4" s="1"/>
  <c r="O53" i="4"/>
  <c r="AA52" i="4" s="1"/>
  <c r="AA51" i="4"/>
  <c r="T46" i="4"/>
  <c r="L53" i="4"/>
  <c r="X52" i="4" s="1"/>
  <c r="X51" i="4"/>
  <c r="AB46" i="4"/>
  <c r="X43" i="4"/>
  <c r="AC43" i="4" s="1"/>
  <c r="L45" i="4"/>
  <c r="X44" i="4" s="1"/>
  <c r="V68" i="4"/>
  <c r="T18" i="4"/>
  <c r="AC18" i="4" s="1"/>
  <c r="Y9" i="4"/>
  <c r="AA15" i="4"/>
  <c r="I112" i="4"/>
  <c r="U111" i="4" s="1"/>
  <c r="U110" i="4"/>
  <c r="L87" i="4"/>
  <c r="X86" i="4" s="1"/>
  <c r="X85" i="4"/>
  <c r="Q132" i="4"/>
  <c r="T114" i="4"/>
  <c r="AC114" i="4" s="1"/>
  <c r="J14" i="4"/>
  <c r="V13" i="4" s="1"/>
  <c r="V12" i="4"/>
  <c r="Q17" i="4"/>
  <c r="T16" i="4"/>
  <c r="T117" i="4"/>
  <c r="AC117" i="4" s="1"/>
  <c r="Q118" i="4"/>
  <c r="X124" i="4"/>
  <c r="AC124" i="4" s="1"/>
  <c r="H67" i="4"/>
  <c r="T65" i="4"/>
  <c r="U113" i="4"/>
  <c r="I115" i="4"/>
  <c r="U114" i="4" s="1"/>
  <c r="T75" i="4"/>
  <c r="T69" i="4"/>
  <c r="M53" i="4"/>
  <c r="Y52" i="4" s="1"/>
  <c r="Y51" i="4"/>
  <c r="AA71" i="4"/>
  <c r="AC71" i="4" s="1"/>
  <c r="Z32" i="4"/>
  <c r="X29" i="4"/>
  <c r="L31" i="4"/>
  <c r="X30" i="4" s="1"/>
  <c r="V54" i="4"/>
  <c r="AC54" i="4" s="1"/>
  <c r="AA43" i="4"/>
  <c r="AC15" i="4"/>
  <c r="AB110" i="4"/>
  <c r="L62" i="4"/>
  <c r="X60" i="4"/>
  <c r="AC60" i="4" s="1"/>
  <c r="W130" i="4"/>
  <c r="W102" i="4"/>
  <c r="AC102" i="4" s="1"/>
  <c r="P98" i="4"/>
  <c r="AB97" i="4" s="1"/>
  <c r="AB96" i="4"/>
  <c r="Y65" i="4"/>
  <c r="Z82" i="4"/>
  <c r="H31" i="4"/>
  <c r="T29" i="4"/>
  <c r="I70" i="4"/>
  <c r="U69" i="4" s="1"/>
  <c r="U68" i="4"/>
  <c r="Y68" i="4"/>
  <c r="Y43" i="4"/>
  <c r="X57" i="4"/>
  <c r="AC57" i="4" s="1"/>
  <c r="AB12" i="4"/>
  <c r="X107" i="4"/>
  <c r="L109" i="4"/>
  <c r="X108" i="4" s="1"/>
  <c r="X127" i="4"/>
  <c r="W85" i="4"/>
  <c r="K87" i="4"/>
  <c r="W86" i="4" s="1"/>
  <c r="W113" i="4"/>
  <c r="K115" i="4"/>
  <c r="W114" i="4" s="1"/>
  <c r="T97" i="4"/>
  <c r="AC97" i="4" s="1"/>
  <c r="O67" i="4"/>
  <c r="AA66" i="4" s="1"/>
  <c r="AA65" i="4"/>
  <c r="U74" i="4"/>
  <c r="AC27" i="4"/>
  <c r="AB51" i="4"/>
  <c r="X18" i="4"/>
  <c r="W68" i="4"/>
  <c r="AC68" i="4" s="1"/>
  <c r="Q45" i="4"/>
  <c r="T44" i="4"/>
  <c r="AC44" i="4" s="1"/>
  <c r="M59" i="4"/>
  <c r="Y58" i="4" s="1"/>
  <c r="Y57" i="4"/>
  <c r="W23" i="4"/>
  <c r="K25" i="4"/>
  <c r="W24" i="4" s="1"/>
  <c r="T113" i="4"/>
  <c r="I98" i="4"/>
  <c r="U97" i="4" s="1"/>
  <c r="U96" i="4"/>
  <c r="AB127" i="4"/>
  <c r="Y74" i="4"/>
  <c r="M76" i="4"/>
  <c r="Y75" i="4" s="1"/>
  <c r="AA121" i="4"/>
  <c r="AC121" i="4" s="1"/>
  <c r="X110" i="4"/>
  <c r="U85" i="4"/>
  <c r="I87" i="4"/>
  <c r="U86" i="4" s="1"/>
  <c r="X113" i="4"/>
  <c r="L115" i="4"/>
  <c r="X114" i="4" s="1"/>
  <c r="AB82" i="4"/>
  <c r="T24" i="4"/>
  <c r="P20" i="4"/>
  <c r="AB19" i="4" s="1"/>
  <c r="AB18" i="4"/>
  <c r="L70" i="4"/>
  <c r="X69" i="4" s="1"/>
  <c r="X68" i="4"/>
  <c r="Z57" i="4"/>
  <c r="Y15" i="4"/>
  <c r="Q11" i="4"/>
  <c r="I129" i="4"/>
  <c r="U127" i="4"/>
  <c r="Q112" i="4"/>
  <c r="T111" i="4"/>
  <c r="AC131" i="4"/>
  <c r="Q123" i="4"/>
  <c r="Z127" i="4"/>
  <c r="T83" i="4"/>
  <c r="AC83" i="4" s="1"/>
  <c r="Q84" i="4"/>
  <c r="Y113" i="4"/>
  <c r="M115" i="4"/>
  <c r="Y114" i="4" s="1"/>
  <c r="T19" i="4"/>
  <c r="V32" i="4"/>
  <c r="AC32" i="4" s="1"/>
  <c r="J34" i="4"/>
  <c r="V33" i="4" s="1"/>
  <c r="AC9" i="4"/>
  <c r="Q101" i="4"/>
  <c r="I14" i="4"/>
  <c r="U12" i="4"/>
  <c r="AC12" i="4" s="1"/>
  <c r="M112" i="4"/>
  <c r="Y111" i="4" s="1"/>
  <c r="Y110" i="4"/>
  <c r="Z124" i="4"/>
  <c r="W107" i="4"/>
  <c r="V74" i="4"/>
  <c r="AC74" i="4" s="1"/>
  <c r="J76" i="4"/>
  <c r="V75" i="4" s="1"/>
  <c r="W74" i="4"/>
  <c r="Y107" i="4"/>
  <c r="AC107" i="4" s="1"/>
  <c r="Z113" i="4"/>
  <c r="U18" i="4"/>
  <c r="I20" i="4"/>
  <c r="U19" i="4" s="1"/>
  <c r="AA29" i="4"/>
  <c r="O31" i="4"/>
  <c r="AA30" i="4" s="1"/>
  <c r="T58" i="4"/>
  <c r="AC58" i="4" s="1"/>
  <c r="Q59" i="4"/>
  <c r="AC100" i="4"/>
  <c r="AC41" i="4"/>
  <c r="L39" i="4"/>
  <c r="X38" i="4" s="1"/>
  <c r="AC38" i="4" s="1"/>
  <c r="X37" i="4"/>
  <c r="AC37" i="4" s="1"/>
  <c r="Y79" i="4"/>
  <c r="O115" i="4"/>
  <c r="AA114" i="4" s="1"/>
  <c r="AA113" i="4"/>
  <c r="O70" i="4"/>
  <c r="AA69" i="4" s="1"/>
  <c r="AA68" i="4"/>
  <c r="K53" i="4"/>
  <c r="W52" i="4" s="1"/>
  <c r="W51" i="4"/>
  <c r="Z18" i="4"/>
  <c r="P34" i="4"/>
  <c r="AB33" i="4" s="1"/>
  <c r="AB32" i="4"/>
  <c r="U29" i="4"/>
  <c r="I31" i="4"/>
  <c r="U30" i="4" s="1"/>
  <c r="AA93" i="4"/>
  <c r="Z29" i="4"/>
  <c r="N31" i="4"/>
  <c r="Z30" i="4" s="1"/>
  <c r="V29" i="4"/>
  <c r="Q42" i="4"/>
  <c r="AB124" i="4"/>
  <c r="P126" i="4"/>
  <c r="AB125" i="4" s="1"/>
  <c r="H81" i="4"/>
  <c r="T79" i="4"/>
  <c r="AC79" i="4" s="1"/>
  <c r="AC85" i="4"/>
  <c r="X96" i="4"/>
  <c r="U79" i="4"/>
  <c r="I81" i="4"/>
  <c r="U80" i="4" s="1"/>
  <c r="T110" i="4"/>
  <c r="Q34" i="4"/>
  <c r="T33" i="4"/>
  <c r="AC33" i="4" s="1"/>
  <c r="AC89" i="4"/>
  <c r="N14" i="4"/>
  <c r="Z13" i="4" s="1"/>
  <c r="Z12" i="4"/>
  <c r="Y26" i="4"/>
  <c r="AC26" i="4" s="1"/>
  <c r="Q56" i="4"/>
  <c r="AB54" i="4"/>
  <c r="AF42" i="4" l="1"/>
  <c r="AE42" i="4"/>
  <c r="AG42" i="4" s="1"/>
  <c r="AE104" i="4"/>
  <c r="Q25" i="4"/>
  <c r="Q115" i="4"/>
  <c r="AC96" i="4"/>
  <c r="AC82" i="4"/>
  <c r="AC111" i="4"/>
  <c r="AC24" i="4"/>
  <c r="AC65" i="4"/>
  <c r="Q73" i="4"/>
  <c r="Q87" i="4"/>
  <c r="AC113" i="4"/>
  <c r="Q67" i="4"/>
  <c r="T66" i="4"/>
  <c r="AC66" i="4" s="1"/>
  <c r="AC86" i="4"/>
  <c r="Q20" i="4"/>
  <c r="AC127" i="4"/>
  <c r="AC110" i="4"/>
  <c r="AC19" i="4"/>
  <c r="U128" i="4"/>
  <c r="AC128" i="4" s="1"/>
  <c r="Q129" i="4"/>
  <c r="Q98" i="4"/>
  <c r="X61" i="4"/>
  <c r="AC61" i="4" s="1"/>
  <c r="AE62" i="4" s="1"/>
  <c r="Q62" i="4"/>
  <c r="AC69" i="4"/>
  <c r="AC16" i="4"/>
  <c r="AC46" i="4"/>
  <c r="AC93" i="4"/>
  <c r="AE48" i="4"/>
  <c r="AF48" i="4"/>
  <c r="Q70" i="4"/>
  <c r="U94" i="4"/>
  <c r="AC94" i="4" s="1"/>
  <c r="AF104" i="4" s="1"/>
  <c r="Q95" i="4"/>
  <c r="AE118" i="4"/>
  <c r="Q126" i="4"/>
  <c r="AC29" i="4"/>
  <c r="AC75" i="4"/>
  <c r="AE76" i="4" s="1"/>
  <c r="Q53" i="4"/>
  <c r="T52" i="4"/>
  <c r="AC52" i="4" s="1"/>
  <c r="U13" i="4"/>
  <c r="AC13" i="4" s="1"/>
  <c r="AE14" i="4" s="1"/>
  <c r="Q14" i="4"/>
  <c r="Q31" i="4"/>
  <c r="T30" i="4"/>
  <c r="AC30" i="4" s="1"/>
  <c r="Q76" i="4"/>
  <c r="Q109" i="4"/>
  <c r="AC51" i="4"/>
  <c r="Q39" i="4"/>
  <c r="Q81" i="4"/>
  <c r="T80" i="4"/>
  <c r="AC80" i="4" s="1"/>
  <c r="AC108" i="4"/>
  <c r="AI104" i="4" l="1"/>
  <c r="AE34" i="4"/>
  <c r="AF34" i="4"/>
  <c r="AG48" i="4"/>
  <c r="AI48" i="4" s="1"/>
  <c r="AF56" i="4"/>
  <c r="AE56" i="4"/>
  <c r="AG56" i="4" s="1"/>
  <c r="AE112" i="4"/>
  <c r="AG112" i="4" s="1"/>
  <c r="AF112" i="4"/>
  <c r="AF90" i="4"/>
  <c r="AI90" i="4" s="1"/>
  <c r="AE90" i="4"/>
  <c r="AG90" i="4" s="1"/>
  <c r="AF62" i="4"/>
  <c r="AE20" i="4"/>
  <c r="AG20" i="4" s="1"/>
  <c r="AF20" i="4"/>
  <c r="AI20" i="4" s="1"/>
  <c r="AF14" i="4"/>
  <c r="AE84" i="4"/>
  <c r="AF84" i="4"/>
  <c r="AF76" i="4"/>
  <c r="AF70" i="4"/>
  <c r="AE70" i="4"/>
  <c r="AG70" i="4" s="1"/>
  <c r="AF118" i="4"/>
  <c r="AG104" i="4"/>
  <c r="AF132" i="4"/>
  <c r="AE132" i="4"/>
  <c r="AF126" i="4"/>
  <c r="AE98" i="4"/>
  <c r="AG98" i="4" s="1"/>
  <c r="AF98" i="4"/>
  <c r="AI98" i="4" s="1"/>
  <c r="AI42" i="4"/>
  <c r="AF28" i="4"/>
  <c r="AE28" i="4"/>
  <c r="AG28" i="4" s="1"/>
  <c r="AG118" i="4" l="1"/>
  <c r="AI118" i="4" s="1"/>
  <c r="AI112" i="4"/>
  <c r="AI70" i="4"/>
  <c r="AI28" i="4"/>
  <c r="AI56" i="4"/>
  <c r="AG84" i="4"/>
  <c r="AI84" i="4" s="1"/>
  <c r="AG14" i="4"/>
  <c r="AI14" i="4"/>
  <c r="AG34" i="4"/>
  <c r="AI34" i="4" s="1"/>
  <c r="AG132" i="4"/>
  <c r="AI132" i="4" s="1"/>
  <c r="AG126" i="4"/>
  <c r="AI126" i="4" s="1"/>
  <c r="AG62" i="4"/>
  <c r="AI62" i="4" s="1"/>
  <c r="AG76" i="4"/>
  <c r="AI76" i="4" s="1"/>
</calcChain>
</file>

<file path=xl/sharedStrings.xml><?xml version="1.0" encoding="utf-8"?>
<sst xmlns="http://schemas.openxmlformats.org/spreadsheetml/2006/main" count="800" uniqueCount="105">
  <si>
    <t>Team</t>
  </si>
  <si>
    <t>Player 1</t>
  </si>
  <si>
    <t>Player 2</t>
  </si>
  <si>
    <t>Team Points Per Week</t>
  </si>
  <si>
    <t>Total</t>
  </si>
  <si>
    <t>Standing</t>
  </si>
  <si>
    <t>ID</t>
  </si>
  <si>
    <t>Name</t>
  </si>
  <si>
    <t>Points</t>
  </si>
  <si>
    <t>Jack West</t>
  </si>
  <si>
    <t>Ron Herman</t>
  </si>
  <si>
    <t>Gabe Lorenz</t>
  </si>
  <si>
    <t>Jake Huckestein</t>
  </si>
  <si>
    <t>Brian Charles</t>
  </si>
  <si>
    <t>Karl Dagg</t>
  </si>
  <si>
    <t>Rhonda Lukas</t>
  </si>
  <si>
    <t>Carol Blizard</t>
  </si>
  <si>
    <t>Tom Mulvey</t>
  </si>
  <si>
    <t>Chris Nelson</t>
  </si>
  <si>
    <t>John Franks</t>
  </si>
  <si>
    <t>Scott Lightbody</t>
  </si>
  <si>
    <t>Steve Brosius</t>
  </si>
  <si>
    <t>Mike Albano</t>
  </si>
  <si>
    <t>Russ Posey</t>
  </si>
  <si>
    <t>Aret Minasian</t>
  </si>
  <si>
    <t>Chris Fahey</t>
  </si>
  <si>
    <t>JC Olivos</t>
  </si>
  <si>
    <t>Betsy Wagner</t>
  </si>
  <si>
    <t>Gordon Hammond</t>
  </si>
  <si>
    <t>John Harvey</t>
  </si>
  <si>
    <t>Jeff Rowles</t>
  </si>
  <si>
    <t>Barry Pavelik</t>
  </si>
  <si>
    <t>Mark Mitchell</t>
  </si>
  <si>
    <t>Baz Mistry</t>
  </si>
  <si>
    <t>Sanjay Reddy</t>
  </si>
  <si>
    <t>Jacob Deshaies</t>
  </si>
  <si>
    <t>Scott Glascott</t>
  </si>
  <si>
    <t>Scot Pineno</t>
  </si>
  <si>
    <t>Scott MacKenzie</t>
  </si>
  <si>
    <t>Jesse Jurden</t>
  </si>
  <si>
    <t>Tracy Schantz</t>
  </si>
  <si>
    <t>Jack Carickhoff</t>
  </si>
  <si>
    <t>Mike Celenza</t>
  </si>
  <si>
    <t>Bob Saenz</t>
  </si>
  <si>
    <t>Dennis Huston</t>
  </si>
  <si>
    <t>*Tie breaker goes to the winner of the matchup week. Any total points shown as tie above will not be in the correct seed until the knock-down round.</t>
  </si>
  <si>
    <t>Standings</t>
  </si>
  <si>
    <t>PlayerID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</si>
  <si>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</si>
  <si>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</si>
  <si>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</si>
  <si>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</si>
  <si>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</si>
  <si>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</si>
  <si>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</si>
  <si>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</si>
  <si>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</si>
  <si>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</si>
  <si>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</si>
  <si>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</si>
  <si>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</si>
  <si>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</si>
  <si>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</si>
  <si>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</si>
  <si>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</si>
  <si>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</si>
  <si>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POY Total Points</t>
  </si>
  <si>
    <t>Points Back</t>
  </si>
  <si>
    <t>Number of weeks to Count</t>
  </si>
  <si>
    <t>Week Win Total</t>
  </si>
  <si>
    <t>Jake Deshaies</t>
  </si>
  <si>
    <t>Tracy Shantz</t>
  </si>
  <si>
    <t>Rhonda Kukas</t>
  </si>
  <si>
    <t>Non-Vanguard Golf League 14th Season</t>
  </si>
  <si>
    <t>Front</t>
  </si>
  <si>
    <t>Week Number</t>
  </si>
  <si>
    <t>Pairings</t>
  </si>
  <si>
    <t>Back</t>
  </si>
  <si>
    <t>Fr. Hdcp</t>
  </si>
  <si>
    <t>Bk Hdcp</t>
  </si>
  <si>
    <t>Rain Out</t>
  </si>
  <si>
    <t>Versus</t>
  </si>
  <si>
    <t>Match</t>
  </si>
  <si>
    <t>Bonus</t>
  </si>
  <si>
    <t>Player</t>
  </si>
  <si>
    <t>Sub</t>
  </si>
  <si>
    <t>Phantom</t>
  </si>
  <si>
    <t>Tot</t>
  </si>
  <si>
    <t>Holes</t>
  </si>
  <si>
    <t>Raw</t>
  </si>
  <si>
    <t>Posted</t>
  </si>
  <si>
    <t>Handicap</t>
  </si>
  <si>
    <t>Scoring</t>
  </si>
  <si>
    <t>Adjusted</t>
  </si>
  <si>
    <t>Nine</t>
  </si>
  <si>
    <t>4:10pm</t>
  </si>
  <si>
    <t>4:20pm</t>
  </si>
  <si>
    <t>4:30pm</t>
  </si>
  <si>
    <t>4:40pm</t>
  </si>
  <si>
    <t>4:50pm</t>
  </si>
  <si>
    <t>5:00pm</t>
  </si>
  <si>
    <t>5:10pm</t>
  </si>
  <si>
    <t>5:20pm</t>
  </si>
  <si>
    <t>5:30pm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</si>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</sst>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9C65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8"/>
      <name val="Calibri"/>
      <family val="2"/>
    </font>
    <font>
      <sz val="14"/>
      <name val="Courier New"/>
      <family val="3"/>
    </font>
    <font>
      <sz val="12"/>
      <name val="Arial"/>
      <family val="2"/>
    </font>
    <font>
      <sz val="11"/>
      <color indexed="9"/>
      <name val="Calibri"/>
      <family val="2"/>
    </font>
    <font>
      <sz val="11"/>
      <name val="Calibri"/>
      <family val="2"/>
    </font>
    <font>
      <sz val="9"/>
      <color theme="0"/>
      <name val="Calibri"/>
      <family val="2"/>
    </font>
    <font>
      <sz val="9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93">
    <xf numFmtId="0" fontId="0" fillId="0" borderId="0" xfId="0"/>
    <xf numFmtId="0" fontId="0" fillId="4" borderId="0" xfId="0" applyFill="1"/>
    <xf numFmtId="0" fontId="0" fillId="4" borderId="0" xfId="0" applyFill="1" applyAlignment="1">
      <alignment horizontal="center"/>
    </xf>
    <xf numFmtId="0" fontId="5" fillId="5" borderId="1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vertical="top"/>
    </xf>
    <xf numFmtId="0" fontId="5" fillId="5" borderId="5" xfId="0" applyFont="1" applyFill="1" applyBorder="1" applyAlignment="1">
      <alignment horizontal="center"/>
    </xf>
    <xf numFmtId="1" fontId="6" fillId="6" borderId="6" xfId="0" applyNumberFormat="1" applyFont="1" applyFill="1" applyBorder="1" applyAlignment="1">
      <alignment horizontal="center" vertical="top"/>
    </xf>
    <xf numFmtId="1" fontId="6" fillId="7" borderId="6" xfId="0" applyNumberFormat="1" applyFont="1" applyFill="1" applyBorder="1" applyAlignment="1">
      <alignment horizontal="center" vertical="top"/>
    </xf>
    <xf numFmtId="0" fontId="7" fillId="4" borderId="0" xfId="0" applyFont="1" applyFill="1"/>
    <xf numFmtId="0" fontId="8" fillId="0" borderId="0" xfId="0" applyFont="1"/>
    <xf numFmtId="0" fontId="9" fillId="3" borderId="0" xfId="2" applyFont="1"/>
    <xf numFmtId="0" fontId="10" fillId="0" borderId="0" xfId="0" applyFont="1"/>
    <xf numFmtId="0" fontId="11" fillId="0" borderId="0" xfId="0" applyFont="1"/>
    <xf numFmtId="0" fontId="12" fillId="4" borderId="7" xfId="0" applyFont="1" applyFill="1" applyBorder="1"/>
    <xf numFmtId="0" fontId="1" fillId="2" borderId="7" xfId="1" applyBorder="1"/>
    <xf numFmtId="0" fontId="12" fillId="7" borderId="7" xfId="0" applyFont="1" applyFill="1" applyBorder="1"/>
    <xf numFmtId="0" fontId="13" fillId="0" borderId="0" xfId="0" applyFont="1" applyAlignment="1">
      <alignment vertical="center"/>
    </xf>
    <xf numFmtId="0" fontId="1" fillId="7" borderId="7" xfId="1" applyFill="1" applyBorder="1"/>
    <xf numFmtId="0" fontId="8" fillId="7" borderId="0" xfId="0" applyFont="1" applyFill="1"/>
    <xf numFmtId="0" fontId="14" fillId="4" borderId="0" xfId="0" applyFont="1" applyFill="1"/>
    <xf numFmtId="0" fontId="15" fillId="8" borderId="6" xfId="0" applyFont="1" applyFill="1" applyBorder="1"/>
    <xf numFmtId="0" fontId="16" fillId="4" borderId="8" xfId="1" applyFont="1" applyFill="1" applyBorder="1" applyAlignment="1" applyProtection="1">
      <alignment horizontal="center"/>
      <protection locked="0"/>
    </xf>
    <xf numFmtId="0" fontId="16" fillId="4" borderId="9" xfId="1" applyFont="1" applyFill="1" applyBorder="1" applyAlignment="1" applyProtection="1">
      <alignment horizontal="center"/>
      <protection locked="0"/>
    </xf>
    <xf numFmtId="0" fontId="16" fillId="4" borderId="10" xfId="0" applyFont="1" applyFill="1" applyBorder="1" applyAlignment="1" applyProtection="1">
      <alignment horizontal="center"/>
      <protection locked="0"/>
    </xf>
    <xf numFmtId="0" fontId="17" fillId="4" borderId="0" xfId="0" applyFont="1" applyFill="1"/>
    <xf numFmtId="0" fontId="0" fillId="4" borderId="0" xfId="0" applyFill="1" applyAlignment="1">
      <alignment horizontal="left"/>
    </xf>
    <xf numFmtId="0" fontId="15" fillId="8" borderId="11" xfId="0" applyFont="1" applyFill="1" applyBorder="1"/>
    <xf numFmtId="0" fontId="16" fillId="9" borderId="12" xfId="0" applyFont="1" applyFill="1" applyBorder="1" applyAlignment="1" applyProtection="1">
      <alignment horizontal="center"/>
      <protection locked="0"/>
    </xf>
    <xf numFmtId="0" fontId="16" fillId="9" borderId="13" xfId="0" applyFont="1" applyFill="1" applyBorder="1" applyAlignment="1" applyProtection="1">
      <alignment horizontal="center"/>
      <protection locked="0"/>
    </xf>
    <xf numFmtId="0" fontId="16" fillId="9" borderId="14" xfId="0" applyFont="1" applyFill="1" applyBorder="1" applyAlignment="1" applyProtection="1">
      <alignment horizontal="center"/>
      <protection locked="0"/>
    </xf>
    <xf numFmtId="0" fontId="15" fillId="8" borderId="15" xfId="0" applyFont="1" applyFill="1" applyBorder="1"/>
    <xf numFmtId="0" fontId="16" fillId="4" borderId="16" xfId="1" applyFont="1" applyFill="1" applyBorder="1" applyAlignment="1" applyProtection="1">
      <alignment horizontal="center"/>
      <protection locked="0"/>
    </xf>
    <xf numFmtId="0" fontId="16" fillId="4" borderId="17" xfId="1" applyFont="1" applyFill="1" applyBorder="1" applyAlignment="1" applyProtection="1">
      <alignment horizontal="center"/>
      <protection locked="0"/>
    </xf>
    <xf numFmtId="0" fontId="16" fillId="8" borderId="18" xfId="0" applyFont="1" applyFill="1" applyBorder="1" applyAlignment="1" applyProtection="1">
      <alignment horizontal="center"/>
      <protection locked="0"/>
    </xf>
    <xf numFmtId="0" fontId="16" fillId="8" borderId="14" xfId="0" applyFont="1" applyFill="1" applyBorder="1" applyAlignment="1" applyProtection="1">
      <alignment horizontal="center"/>
      <protection locked="0"/>
    </xf>
    <xf numFmtId="0" fontId="15" fillId="4" borderId="0" xfId="0" applyFont="1" applyFill="1"/>
    <xf numFmtId="0" fontId="16" fillId="4" borderId="0" xfId="0" applyFont="1" applyFill="1" applyAlignment="1">
      <alignment horizontal="center"/>
    </xf>
    <xf numFmtId="0" fontId="18" fillId="4" borderId="0" xfId="0" applyFont="1" applyFill="1"/>
    <xf numFmtId="0" fontId="0" fillId="4" borderId="0" xfId="0" applyFill="1" applyAlignment="1" applyProtection="1">
      <alignment horizontal="center"/>
      <protection hidden="1"/>
    </xf>
    <xf numFmtId="0" fontId="3" fillId="4" borderId="0" xfId="0" applyFont="1" applyFill="1" applyAlignment="1">
      <alignment horizontal="center"/>
    </xf>
    <xf numFmtId="0" fontId="19" fillId="4" borderId="0" xfId="0" applyFont="1" applyFill="1"/>
    <xf numFmtId="0" fontId="15" fillId="8" borderId="7" xfId="0" applyFont="1" applyFill="1" applyBorder="1" applyAlignment="1">
      <alignment horizontal="center"/>
    </xf>
    <xf numFmtId="0" fontId="15" fillId="8" borderId="19" xfId="0" applyFont="1" applyFill="1" applyBorder="1"/>
    <xf numFmtId="0" fontId="15" fillId="8" borderId="20" xfId="0" applyFont="1" applyFill="1" applyBorder="1" applyAlignment="1">
      <alignment horizontal="center"/>
    </xf>
    <xf numFmtId="0" fontId="15" fillId="8" borderId="21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8" xfId="0" applyFill="1" applyBorder="1" applyAlignment="1" applyProtection="1">
      <alignment horizontal="center"/>
      <protection locked="0"/>
    </xf>
    <xf numFmtId="0" fontId="0" fillId="10" borderId="22" xfId="0" applyFill="1" applyBorder="1" applyAlignment="1">
      <alignment horizontal="center"/>
    </xf>
    <xf numFmtId="0" fontId="0" fillId="11" borderId="15" xfId="0" applyFill="1" applyBorder="1" applyAlignment="1">
      <alignment horizontal="left"/>
    </xf>
    <xf numFmtId="0" fontId="0" fillId="11" borderId="7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5" fillId="8" borderId="25" xfId="0" applyFont="1" applyFill="1" applyBorder="1" applyAlignment="1">
      <alignment horizontal="center"/>
    </xf>
    <xf numFmtId="0" fontId="0" fillId="10" borderId="24" xfId="0" applyFill="1" applyBorder="1"/>
    <xf numFmtId="0" fontId="0" fillId="10" borderId="7" xfId="0" applyFill="1" applyBorder="1" applyAlignment="1">
      <alignment horizontal="center"/>
    </xf>
    <xf numFmtId="0" fontId="0" fillId="10" borderId="25" xfId="0" applyFill="1" applyBorder="1" applyAlignment="1">
      <alignment horizontal="center"/>
    </xf>
    <xf numFmtId="0" fontId="0" fillId="11" borderId="7" xfId="0" applyFill="1" applyBorder="1"/>
    <xf numFmtId="0" fontId="16" fillId="11" borderId="7" xfId="0" applyFont="1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15" fillId="8" borderId="24" xfId="0" applyFont="1" applyFill="1" applyBorder="1"/>
    <xf numFmtId="0" fontId="0" fillId="4" borderId="24" xfId="0" applyFill="1" applyBorder="1" applyAlignment="1">
      <alignment horizontal="center"/>
    </xf>
    <xf numFmtId="0" fontId="0" fillId="10" borderId="7" xfId="0" applyFill="1" applyBorder="1" applyAlignment="1" applyProtection="1">
      <alignment horizontal="center"/>
      <protection locked="0"/>
    </xf>
    <xf numFmtId="0" fontId="0" fillId="11" borderId="24" xfId="0" applyFill="1" applyBorder="1" applyAlignment="1">
      <alignment horizontal="left"/>
    </xf>
    <xf numFmtId="0" fontId="0" fillId="10" borderId="2" xfId="0" applyFill="1" applyBorder="1" applyAlignment="1">
      <alignment horizont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2" borderId="7" xfId="0" applyFill="1" applyBorder="1" applyAlignment="1">
      <alignment horizontal="center"/>
    </xf>
    <xf numFmtId="0" fontId="0" fillId="12" borderId="7" xfId="0" applyFill="1" applyBorder="1" applyAlignment="1" applyProtection="1">
      <alignment horizontal="center"/>
      <protection locked="0"/>
    </xf>
    <xf numFmtId="0" fontId="0" fillId="12" borderId="25" xfId="0" applyFill="1" applyBorder="1" applyAlignment="1">
      <alignment horizontal="center"/>
    </xf>
    <xf numFmtId="0" fontId="0" fillId="12" borderId="24" xfId="0" applyFill="1" applyBorder="1"/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11" borderId="12" xfId="0" applyFill="1" applyBorder="1"/>
    <xf numFmtId="0" fontId="0" fillId="11" borderId="26" xfId="0" applyFill="1" applyBorder="1" applyAlignment="1">
      <alignment horizontal="center"/>
    </xf>
    <xf numFmtId="0" fontId="15" fillId="8" borderId="12" xfId="0" applyFont="1" applyFill="1" applyBorder="1" applyAlignment="1">
      <alignment horizontal="center"/>
    </xf>
    <xf numFmtId="0" fontId="15" fillId="8" borderId="26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>
      <alignment horizontal="center"/>
    </xf>
    <xf numFmtId="0" fontId="15" fillId="8" borderId="7" xfId="0" applyFont="1" applyFill="1" applyBorder="1" applyAlignment="1" applyProtection="1">
      <alignment horizontal="center"/>
      <protection locked="0"/>
    </xf>
    <xf numFmtId="0" fontId="3" fillId="4" borderId="0" xfId="0" applyFont="1" applyFill="1"/>
    <xf numFmtId="0" fontId="19" fillId="4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20" fillId="4" borderId="0" xfId="0" applyFont="1" applyFill="1" applyAlignment="1">
      <alignment horizontal="left"/>
    </xf>
    <xf numFmtId="0" fontId="4" fillId="4" borderId="0" xfId="0" applyFont="1" applyFill="1" applyAlignment="1">
      <alignment horizontal="center" vertical="top" wrapText="1"/>
    </xf>
    <xf numFmtId="0" fontId="5" fillId="5" borderId="2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 vertical="top"/>
    </xf>
    <xf numFmtId="0" fontId="5" fillId="5" borderId="2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22">
    <dxf>
      <font>
        <b/>
        <i val="0"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76177</xdr:colOff>
      <xdr:row>0</xdr:row>
      <xdr:rowOff>104137</xdr:rowOff>
    </xdr:from>
    <xdr:to>
      <xdr:col>6</xdr:col>
      <xdr:colOff>532660</xdr:colOff>
      <xdr:row>2</xdr:row>
      <xdr:rowOff>108976</xdr:rowOff>
    </xdr:to>
    <xdr:sp macro="[1]!Update_Bonus" textlink="">
      <xdr:nvSpPr>
        <xdr:cNvPr id="2" name="Bevel 1">
          <a:extLst>
            <a:ext uri="{FF2B5EF4-FFF2-40B4-BE49-F238E27FC236}">
              <a16:creationId xmlns:a16="http://schemas.microsoft.com/office/drawing/2014/main" id="{2C229BF6-7E80-4F9D-87D4-EE5BFEB84584}"/>
            </a:ext>
          </a:extLst>
        </xdr:cNvPr>
        <xdr:cNvSpPr/>
      </xdr:nvSpPr>
      <xdr:spPr>
        <a:xfrm>
          <a:off x="3826306" y="104137"/>
          <a:ext cx="1098740" cy="391282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212271</xdr:colOff>
          <xdr:row>0</xdr:row>
          <xdr:rowOff>125186</xdr:rowOff>
        </xdr:from>
        <xdr:to>
          <xdr:col>13</xdr:col>
          <xdr:colOff>32657</xdr:colOff>
          <xdr:row>2</xdr:row>
          <xdr:rowOff>97971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92052</xdr:colOff>
      <xdr:row>0</xdr:row>
      <xdr:rowOff>104137</xdr:rowOff>
    </xdr:from>
    <xdr:to>
      <xdr:col>6</xdr:col>
      <xdr:colOff>509784</xdr:colOff>
      <xdr:row>2</xdr:row>
      <xdr:rowOff>108953</xdr:rowOff>
    </xdr:to>
    <xdr:sp macro="[1]!Update_Bonus" textlink="">
      <xdr:nvSpPr>
        <xdr:cNvPr id="2" name="Bevel 1">
          <a:extLst>
            <a:ext uri="{FF2B5EF4-FFF2-40B4-BE49-F238E27FC236}">
              <a16:creationId xmlns:a16="http://schemas.microsoft.com/office/drawing/2014/main" id="{375916E4-1A65-48B6-8BA4-520610E83C95}"/>
            </a:ext>
          </a:extLst>
        </xdr:cNvPr>
        <xdr:cNvSpPr/>
      </xdr:nvSpPr>
      <xdr:spPr>
        <a:xfrm>
          <a:off x="3842181" y="104137"/>
          <a:ext cx="1059989" cy="391259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212271</xdr:colOff>
          <xdr:row>0</xdr:row>
          <xdr:rowOff>125186</xdr:rowOff>
        </xdr:from>
        <xdr:to>
          <xdr:col>13</xdr:col>
          <xdr:colOff>32657</xdr:colOff>
          <xdr:row>2</xdr:row>
          <xdr:rowOff>97971</xdr:rowOff>
        </xdr:to>
        <xdr:sp macro="" textlink="">
          <xdr:nvSpPr>
            <xdr:cNvPr id="3073" name="Butto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92052</xdr:colOff>
      <xdr:row>0</xdr:row>
      <xdr:rowOff>104137</xdr:rowOff>
    </xdr:from>
    <xdr:to>
      <xdr:col>6</xdr:col>
      <xdr:colOff>509784</xdr:colOff>
      <xdr:row>2</xdr:row>
      <xdr:rowOff>108953</xdr:rowOff>
    </xdr:to>
    <xdr:sp macro="[1]!Update_Bonus" textlink="">
      <xdr:nvSpPr>
        <xdr:cNvPr id="3" name="Bevel 1">
          <a:extLst>
            <a:ext uri="{FF2B5EF4-FFF2-40B4-BE49-F238E27FC236}">
              <a16:creationId xmlns:a16="http://schemas.microsoft.com/office/drawing/2014/main" id="{1C8243CF-E9C6-4E4C-BFA7-7FC990C54668}"/>
            </a:ext>
          </a:extLst>
        </xdr:cNvPr>
        <xdr:cNvSpPr/>
      </xdr:nvSpPr>
      <xdr:spPr>
        <a:xfrm>
          <a:off x="3842181" y="104137"/>
          <a:ext cx="1059989" cy="391259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/>
            <a:t>Update</a:t>
          </a:r>
          <a:r>
            <a:rPr lang="en-US" sz="1100" baseline="0"/>
            <a:t> Bonus Points</a:t>
          </a:r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212271</xdr:colOff>
          <xdr:row>0</xdr:row>
          <xdr:rowOff>125186</xdr:rowOff>
        </xdr:from>
        <xdr:to>
          <xdr:col>13</xdr:col>
          <xdr:colOff>32657</xdr:colOff>
          <xdr:row>2</xdr:row>
          <xdr:rowOff>97971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D5D97EF0-BE9E-402C-8D2B-4DEE0F0481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Weeks Score Tasks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76200</xdr:colOff>
          <xdr:row>3</xdr:row>
          <xdr:rowOff>76200</xdr:rowOff>
        </xdr:from>
        <xdr:to>
          <xdr:col>31</xdr:col>
          <xdr:colOff>517071</xdr:colOff>
          <xdr:row>5</xdr:row>
          <xdr:rowOff>146957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Clear All Worksheets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96c3595a8ed6d4c/Golf%20League/2025/Golf%20League%20Master%20v2.2025.xls" TargetMode="External"/><Relationship Id="rId1" Type="http://schemas.openxmlformats.org/officeDocument/2006/relationships/externalLinkPath" Target="Golf%20League%20Master%20v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andicap Chart"/>
      <sheetName val="Main"/>
      <sheetName val="Summary"/>
      <sheetName val="POY"/>
      <sheetName val="Week1"/>
      <sheetName val="Week2"/>
      <sheetName val="Week3"/>
      <sheetName val="Week4"/>
      <sheetName val="Week5"/>
      <sheetName val="Week6"/>
      <sheetName val="Week7"/>
      <sheetName val="Week8"/>
      <sheetName val="Week9"/>
      <sheetName val="Week10"/>
      <sheetName val="Week11"/>
      <sheetName val="Week12"/>
      <sheetName val="Week13"/>
      <sheetName val="Week14"/>
      <sheetName val="Week15"/>
      <sheetName val="Week16"/>
      <sheetName val="Week17"/>
      <sheetName val="Week18"/>
      <sheetName val="Playoffs1"/>
      <sheetName val="Playoffs2"/>
      <sheetName val="Championship"/>
    </sheetNames>
    <definedNames>
      <definedName name="ClearForYear"/>
      <definedName name="Update_Bonus"/>
      <definedName name="WeeksScoringTasks(&quot;Week2&quot;)"/>
      <definedName name="WeeksScoringTasks(&quot;Week3&quot;)"/>
    </definedNames>
    <sheetDataSet>
      <sheetData sheetId="0">
        <row r="4">
          <cell r="B4" t="str">
            <v>Handicap</v>
          </cell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</row>
        <row r="5">
          <cell r="B5">
            <v>-5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-1</v>
          </cell>
          <cell r="H5">
            <v>-1</v>
          </cell>
          <cell r="I5">
            <v>-1</v>
          </cell>
          <cell r="J5">
            <v>-1</v>
          </cell>
          <cell r="K5">
            <v>-1</v>
          </cell>
        </row>
        <row r="6">
          <cell r="B6">
            <v>-4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-1</v>
          </cell>
          <cell r="I6">
            <v>-1</v>
          </cell>
          <cell r="J6">
            <v>-1</v>
          </cell>
          <cell r="K6">
            <v>-1</v>
          </cell>
        </row>
        <row r="7">
          <cell r="B7">
            <v>-3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-1</v>
          </cell>
          <cell r="J7">
            <v>-1</v>
          </cell>
          <cell r="K7">
            <v>-1</v>
          </cell>
        </row>
        <row r="8">
          <cell r="B8">
            <v>-2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-1</v>
          </cell>
          <cell r="K8">
            <v>-1</v>
          </cell>
        </row>
        <row r="9">
          <cell r="B9">
            <v>-1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-1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>
            <v>1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>
            <v>2</v>
          </cell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>
            <v>3</v>
          </cell>
          <cell r="C13">
            <v>1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>
            <v>4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>
            <v>5</v>
          </cell>
          <cell r="C15">
            <v>1</v>
          </cell>
          <cell r="D15">
            <v>1</v>
          </cell>
          <cell r="E15">
            <v>1</v>
          </cell>
          <cell r="F15">
            <v>1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>
            <v>6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0</v>
          </cell>
          <cell r="J16">
            <v>0</v>
          </cell>
          <cell r="K16">
            <v>0</v>
          </cell>
        </row>
        <row r="17">
          <cell r="B17">
            <v>7</v>
          </cell>
          <cell r="C17">
            <v>1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J17">
            <v>0</v>
          </cell>
          <cell r="K17">
            <v>0</v>
          </cell>
        </row>
        <row r="18">
          <cell r="B18">
            <v>8</v>
          </cell>
          <cell r="C18">
            <v>1</v>
          </cell>
          <cell r="D18">
            <v>1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J18">
            <v>1</v>
          </cell>
          <cell r="K18">
            <v>0</v>
          </cell>
        </row>
        <row r="19">
          <cell r="B19">
            <v>9</v>
          </cell>
          <cell r="C19">
            <v>1</v>
          </cell>
          <cell r="D19">
            <v>1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</row>
        <row r="20">
          <cell r="B20">
            <v>10</v>
          </cell>
          <cell r="C20">
            <v>2</v>
          </cell>
          <cell r="D20">
            <v>1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1</v>
          </cell>
          <cell r="K20">
            <v>1</v>
          </cell>
        </row>
        <row r="21">
          <cell r="B21">
            <v>11</v>
          </cell>
          <cell r="C21">
            <v>2</v>
          </cell>
          <cell r="D21">
            <v>2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K21">
            <v>1</v>
          </cell>
        </row>
        <row r="22">
          <cell r="B22">
            <v>12</v>
          </cell>
          <cell r="C22">
            <v>2</v>
          </cell>
          <cell r="D22">
            <v>2</v>
          </cell>
          <cell r="E22">
            <v>2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J22">
            <v>1</v>
          </cell>
          <cell r="K22">
            <v>1</v>
          </cell>
        </row>
        <row r="23">
          <cell r="B23">
            <v>13</v>
          </cell>
          <cell r="C23">
            <v>2</v>
          </cell>
          <cell r="D23">
            <v>2</v>
          </cell>
          <cell r="E23">
            <v>2</v>
          </cell>
          <cell r="F23">
            <v>2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</row>
        <row r="24">
          <cell r="B24">
            <v>14</v>
          </cell>
          <cell r="C24">
            <v>2</v>
          </cell>
          <cell r="D24">
            <v>2</v>
          </cell>
          <cell r="E24">
            <v>2</v>
          </cell>
          <cell r="F24">
            <v>2</v>
          </cell>
          <cell r="G24">
            <v>2</v>
          </cell>
          <cell r="H24">
            <v>1</v>
          </cell>
          <cell r="I24">
            <v>1</v>
          </cell>
          <cell r="J24">
            <v>1</v>
          </cell>
          <cell r="K24">
            <v>1</v>
          </cell>
        </row>
        <row r="25">
          <cell r="B25">
            <v>15</v>
          </cell>
          <cell r="C25">
            <v>2</v>
          </cell>
          <cell r="D25">
            <v>2</v>
          </cell>
          <cell r="E25">
            <v>2</v>
          </cell>
          <cell r="F25">
            <v>2</v>
          </cell>
          <cell r="G25">
            <v>2</v>
          </cell>
          <cell r="H25">
            <v>2</v>
          </cell>
          <cell r="I25">
            <v>1</v>
          </cell>
          <cell r="J25">
            <v>1</v>
          </cell>
          <cell r="K25">
            <v>1</v>
          </cell>
        </row>
        <row r="26">
          <cell r="B26">
            <v>16</v>
          </cell>
          <cell r="C26">
            <v>2</v>
          </cell>
          <cell r="D26">
            <v>2</v>
          </cell>
          <cell r="E26">
            <v>2</v>
          </cell>
          <cell r="F26">
            <v>2</v>
          </cell>
          <cell r="G26">
            <v>2</v>
          </cell>
          <cell r="H26">
            <v>2</v>
          </cell>
          <cell r="I26">
            <v>2</v>
          </cell>
          <cell r="J26">
            <v>1</v>
          </cell>
          <cell r="K26">
            <v>1</v>
          </cell>
        </row>
        <row r="27">
          <cell r="B27">
            <v>17</v>
          </cell>
          <cell r="C27">
            <v>2</v>
          </cell>
          <cell r="D27">
            <v>2</v>
          </cell>
          <cell r="E27">
            <v>2</v>
          </cell>
          <cell r="F27">
            <v>2</v>
          </cell>
          <cell r="G27">
            <v>2</v>
          </cell>
          <cell r="H27">
            <v>2</v>
          </cell>
          <cell r="I27">
            <v>2</v>
          </cell>
          <cell r="J27">
            <v>2</v>
          </cell>
          <cell r="K27">
            <v>1</v>
          </cell>
        </row>
        <row r="28">
          <cell r="B28">
            <v>18</v>
          </cell>
          <cell r="C28">
            <v>2</v>
          </cell>
          <cell r="D28">
            <v>2</v>
          </cell>
          <cell r="E28">
            <v>2</v>
          </cell>
          <cell r="F28">
            <v>2</v>
          </cell>
          <cell r="G28">
            <v>2</v>
          </cell>
          <cell r="H28">
            <v>2</v>
          </cell>
          <cell r="I28">
            <v>2</v>
          </cell>
          <cell r="J28">
            <v>2</v>
          </cell>
          <cell r="K28">
            <v>2</v>
          </cell>
        </row>
        <row r="29">
          <cell r="B29">
            <v>19</v>
          </cell>
          <cell r="C29">
            <v>3</v>
          </cell>
          <cell r="D29">
            <v>2</v>
          </cell>
          <cell r="E29">
            <v>2</v>
          </cell>
          <cell r="F29">
            <v>2</v>
          </cell>
          <cell r="G29">
            <v>2</v>
          </cell>
          <cell r="H29">
            <v>2</v>
          </cell>
          <cell r="I29">
            <v>2</v>
          </cell>
          <cell r="J29">
            <v>2</v>
          </cell>
          <cell r="K29">
            <v>2</v>
          </cell>
        </row>
        <row r="30">
          <cell r="B30">
            <v>20</v>
          </cell>
          <cell r="C30">
            <v>3</v>
          </cell>
          <cell r="D30">
            <v>3</v>
          </cell>
          <cell r="E30">
            <v>2</v>
          </cell>
          <cell r="F30">
            <v>2</v>
          </cell>
          <cell r="G30">
            <v>2</v>
          </cell>
          <cell r="H30">
            <v>2</v>
          </cell>
          <cell r="I30">
            <v>2</v>
          </cell>
          <cell r="J30">
            <v>2</v>
          </cell>
          <cell r="K30">
            <v>2</v>
          </cell>
        </row>
        <row r="31">
          <cell r="B31">
            <v>21</v>
          </cell>
          <cell r="C31">
            <v>3</v>
          </cell>
          <cell r="D31">
            <v>3</v>
          </cell>
          <cell r="E31">
            <v>3</v>
          </cell>
          <cell r="F31">
            <v>2</v>
          </cell>
          <cell r="G31">
            <v>2</v>
          </cell>
          <cell r="H31">
            <v>2</v>
          </cell>
          <cell r="I31">
            <v>2</v>
          </cell>
          <cell r="J31">
            <v>2</v>
          </cell>
          <cell r="K31">
            <v>2</v>
          </cell>
        </row>
        <row r="32">
          <cell r="B32">
            <v>22</v>
          </cell>
          <cell r="C32">
            <v>3</v>
          </cell>
          <cell r="D32">
            <v>3</v>
          </cell>
          <cell r="E32">
            <v>3</v>
          </cell>
          <cell r="F32">
            <v>3</v>
          </cell>
          <cell r="G32">
            <v>2</v>
          </cell>
          <cell r="H32">
            <v>2</v>
          </cell>
          <cell r="I32">
            <v>2</v>
          </cell>
          <cell r="J32">
            <v>2</v>
          </cell>
          <cell r="K32">
            <v>2</v>
          </cell>
        </row>
        <row r="33">
          <cell r="B33">
            <v>23</v>
          </cell>
          <cell r="C33">
            <v>3</v>
          </cell>
          <cell r="D33">
            <v>3</v>
          </cell>
          <cell r="E33">
            <v>3</v>
          </cell>
          <cell r="F33">
            <v>3</v>
          </cell>
          <cell r="G33">
            <v>3</v>
          </cell>
          <cell r="H33">
            <v>2</v>
          </cell>
          <cell r="I33">
            <v>2</v>
          </cell>
          <cell r="J33">
            <v>2</v>
          </cell>
          <cell r="K33">
            <v>2</v>
          </cell>
        </row>
        <row r="34">
          <cell r="B34">
            <v>24</v>
          </cell>
          <cell r="C34">
            <v>3</v>
          </cell>
          <cell r="D34">
            <v>3</v>
          </cell>
          <cell r="E34">
            <v>3</v>
          </cell>
          <cell r="F34">
            <v>3</v>
          </cell>
          <cell r="G34">
            <v>3</v>
          </cell>
          <cell r="H34">
            <v>3</v>
          </cell>
          <cell r="I34">
            <v>2</v>
          </cell>
          <cell r="J34">
            <v>2</v>
          </cell>
          <cell r="K34">
            <v>2</v>
          </cell>
        </row>
        <row r="35">
          <cell r="B35">
            <v>25</v>
          </cell>
          <cell r="C35">
            <v>3</v>
          </cell>
          <cell r="D35">
            <v>3</v>
          </cell>
          <cell r="E35">
            <v>3</v>
          </cell>
          <cell r="F35">
            <v>3</v>
          </cell>
          <cell r="G35">
            <v>3</v>
          </cell>
          <cell r="H35">
            <v>3</v>
          </cell>
          <cell r="I35">
            <v>3</v>
          </cell>
          <cell r="J35">
            <v>2</v>
          </cell>
          <cell r="K35">
            <v>2</v>
          </cell>
        </row>
        <row r="36">
          <cell r="B36">
            <v>26</v>
          </cell>
          <cell r="C36">
            <v>3</v>
          </cell>
          <cell r="D36">
            <v>3</v>
          </cell>
          <cell r="E36">
            <v>3</v>
          </cell>
          <cell r="F36">
            <v>3</v>
          </cell>
          <cell r="G36">
            <v>3</v>
          </cell>
          <cell r="H36">
            <v>3</v>
          </cell>
          <cell r="I36">
            <v>3</v>
          </cell>
          <cell r="J36">
            <v>3</v>
          </cell>
          <cell r="K36">
            <v>2</v>
          </cell>
        </row>
        <row r="37">
          <cell r="B37">
            <v>27</v>
          </cell>
          <cell r="C37">
            <v>3</v>
          </cell>
          <cell r="D37">
            <v>3</v>
          </cell>
          <cell r="E37">
            <v>3</v>
          </cell>
          <cell r="F37">
            <v>3</v>
          </cell>
          <cell r="G37">
            <v>3</v>
          </cell>
          <cell r="H37">
            <v>3</v>
          </cell>
          <cell r="I37">
            <v>3</v>
          </cell>
          <cell r="J37">
            <v>3</v>
          </cell>
          <cell r="K37">
            <v>3</v>
          </cell>
        </row>
        <row r="38">
          <cell r="B38">
            <v>28</v>
          </cell>
          <cell r="C38">
            <v>4</v>
          </cell>
          <cell r="D38">
            <v>3</v>
          </cell>
          <cell r="E38">
            <v>3</v>
          </cell>
          <cell r="F38">
            <v>3</v>
          </cell>
          <cell r="G38">
            <v>3</v>
          </cell>
          <cell r="H38">
            <v>3</v>
          </cell>
          <cell r="I38">
            <v>3</v>
          </cell>
          <cell r="J38">
            <v>3</v>
          </cell>
          <cell r="K38">
            <v>3</v>
          </cell>
        </row>
        <row r="39">
          <cell r="B39">
            <v>29</v>
          </cell>
          <cell r="C39">
            <v>4</v>
          </cell>
          <cell r="D39">
            <v>4</v>
          </cell>
          <cell r="E39">
            <v>3</v>
          </cell>
          <cell r="F39">
            <v>3</v>
          </cell>
          <cell r="G39">
            <v>3</v>
          </cell>
          <cell r="H39">
            <v>3</v>
          </cell>
          <cell r="I39">
            <v>3</v>
          </cell>
          <cell r="J39">
            <v>3</v>
          </cell>
          <cell r="K39">
            <v>3</v>
          </cell>
        </row>
        <row r="40">
          <cell r="B40">
            <v>30</v>
          </cell>
          <cell r="C40">
            <v>4</v>
          </cell>
          <cell r="D40">
            <v>4</v>
          </cell>
          <cell r="E40">
            <v>4</v>
          </cell>
          <cell r="F40">
            <v>3</v>
          </cell>
          <cell r="G40">
            <v>3</v>
          </cell>
          <cell r="H40">
            <v>3</v>
          </cell>
          <cell r="I40">
            <v>3</v>
          </cell>
          <cell r="J40">
            <v>3</v>
          </cell>
          <cell r="K40">
            <v>3</v>
          </cell>
        </row>
      </sheetData>
      <sheetData sheetId="1"/>
      <sheetData sheetId="2">
        <row r="4">
          <cell r="A4">
            <v>1</v>
          </cell>
          <cell r="B4">
            <v>1</v>
          </cell>
          <cell r="C4" t="str">
            <v>Veteran</v>
          </cell>
          <cell r="D4" t="str">
            <v>Brian Charles</v>
          </cell>
          <cell r="E4">
            <v>40</v>
          </cell>
          <cell r="F4">
            <v>45</v>
          </cell>
          <cell r="G4">
            <v>0</v>
          </cell>
          <cell r="H4" t="e">
            <v>#N/A</v>
          </cell>
          <cell r="I4" t="e">
            <v>#N/A</v>
          </cell>
          <cell r="J4" t="e">
            <v>#N/A</v>
          </cell>
          <cell r="K4" t="e">
            <v>#N/A</v>
          </cell>
          <cell r="L4" t="e">
            <v>#N/A</v>
          </cell>
          <cell r="M4" t="e">
            <v>#N/A</v>
          </cell>
          <cell r="N4" t="e">
            <v>#N/A</v>
          </cell>
          <cell r="O4" t="e">
            <v>#N/A</v>
          </cell>
          <cell r="P4" t="e">
            <v>#N/A</v>
          </cell>
          <cell r="Q4" t="e">
            <v>#N/A</v>
          </cell>
          <cell r="R4" t="e">
            <v>#N/A</v>
          </cell>
          <cell r="S4" t="e">
            <v>#N/A</v>
          </cell>
          <cell r="T4" t="e">
            <v>#N/A</v>
          </cell>
          <cell r="U4" t="e">
            <v>#N/A</v>
          </cell>
          <cell r="V4" t="e">
            <v>#N/A</v>
          </cell>
          <cell r="X4">
            <v>40</v>
          </cell>
          <cell r="Y4">
            <v>45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S4">
            <v>6</v>
          </cell>
          <cell r="AT4">
            <v>4</v>
          </cell>
          <cell r="AU4">
            <v>6</v>
          </cell>
        </row>
        <row r="5">
          <cell r="A5">
            <v>2</v>
          </cell>
          <cell r="B5">
            <v>1</v>
          </cell>
          <cell r="C5" t="str">
            <v>Veteran</v>
          </cell>
          <cell r="D5" t="str">
            <v>Karl Dagg</v>
          </cell>
          <cell r="E5">
            <v>41</v>
          </cell>
          <cell r="F5">
            <v>43</v>
          </cell>
          <cell r="G5">
            <v>0</v>
          </cell>
          <cell r="H5" t="e">
            <v>#N/A</v>
          </cell>
          <cell r="I5" t="e">
            <v>#N/A</v>
          </cell>
          <cell r="J5" t="e">
            <v>#N/A</v>
          </cell>
          <cell r="K5" t="e">
            <v>#N/A</v>
          </cell>
          <cell r="L5" t="e">
            <v>#N/A</v>
          </cell>
          <cell r="M5" t="e">
            <v>#N/A</v>
          </cell>
          <cell r="N5" t="e">
            <v>#N/A</v>
          </cell>
          <cell r="O5" t="e">
            <v>#N/A</v>
          </cell>
          <cell r="P5" t="e">
            <v>#N/A</v>
          </cell>
          <cell r="Q5" t="e">
            <v>#N/A</v>
          </cell>
          <cell r="R5" t="e">
            <v>#N/A</v>
          </cell>
          <cell r="S5" t="e">
            <v>#N/A</v>
          </cell>
          <cell r="T5" t="e">
            <v>#N/A</v>
          </cell>
          <cell r="U5" t="e">
            <v>#N/A</v>
          </cell>
          <cell r="V5" t="e">
            <v>#N/A</v>
          </cell>
          <cell r="X5">
            <v>41</v>
          </cell>
          <cell r="Y5">
            <v>43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S5">
            <v>5</v>
          </cell>
          <cell r="AT5">
            <v>5</v>
          </cell>
          <cell r="AU5">
            <v>5</v>
          </cell>
        </row>
        <row r="6">
          <cell r="A6">
            <v>3</v>
          </cell>
          <cell r="B6">
            <v>2</v>
          </cell>
          <cell r="C6" t="str">
            <v>Veteran</v>
          </cell>
          <cell r="D6" t="str">
            <v>Steve Brosius</v>
          </cell>
          <cell r="E6">
            <v>43</v>
          </cell>
          <cell r="F6">
            <v>47</v>
          </cell>
          <cell r="G6">
            <v>0</v>
          </cell>
          <cell r="H6" t="e">
            <v>#N/A</v>
          </cell>
          <cell r="I6" t="e">
            <v>#N/A</v>
          </cell>
          <cell r="J6" t="e">
            <v>#N/A</v>
          </cell>
          <cell r="K6" t="e">
            <v>#N/A</v>
          </cell>
          <cell r="L6" t="e">
            <v>#N/A</v>
          </cell>
          <cell r="M6" t="e">
            <v>#N/A</v>
          </cell>
          <cell r="N6" t="e">
            <v>#N/A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e">
            <v>#N/A</v>
          </cell>
          <cell r="T6" t="e">
            <v>#N/A</v>
          </cell>
          <cell r="U6" t="e">
            <v>#N/A</v>
          </cell>
          <cell r="V6" t="e">
            <v>#N/A</v>
          </cell>
          <cell r="X6">
            <v>43</v>
          </cell>
          <cell r="Y6">
            <v>46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S6">
            <v>7</v>
          </cell>
          <cell r="AT6">
            <v>6</v>
          </cell>
          <cell r="AU6">
            <v>8</v>
          </cell>
        </row>
        <row r="7">
          <cell r="A7">
            <v>4</v>
          </cell>
          <cell r="B7">
            <v>2</v>
          </cell>
          <cell r="C7" t="str">
            <v>Veteran</v>
          </cell>
          <cell r="D7" t="str">
            <v>Mike Albano</v>
          </cell>
          <cell r="E7">
            <v>0</v>
          </cell>
          <cell r="F7">
            <v>50</v>
          </cell>
          <cell r="G7">
            <v>0</v>
          </cell>
          <cell r="H7" t="e">
            <v>#N/A</v>
          </cell>
          <cell r="I7" t="e">
            <v>#N/A</v>
          </cell>
          <cell r="J7" t="e">
            <v>#N/A</v>
          </cell>
          <cell r="K7" t="e">
            <v>#N/A</v>
          </cell>
          <cell r="L7" t="e">
            <v>#N/A</v>
          </cell>
          <cell r="M7" t="e">
            <v>#N/A</v>
          </cell>
          <cell r="N7" t="e">
            <v>#N/A</v>
          </cell>
          <cell r="O7" t="e">
            <v>#N/A</v>
          </cell>
          <cell r="P7" t="e">
            <v>#N/A</v>
          </cell>
          <cell r="Q7" t="e">
            <v>#N/A</v>
          </cell>
          <cell r="R7" t="e">
            <v>#N/A</v>
          </cell>
          <cell r="S7" t="e">
            <v>#N/A</v>
          </cell>
          <cell r="T7" t="e">
            <v>#N/A</v>
          </cell>
          <cell r="U7" t="e">
            <v>#N/A</v>
          </cell>
          <cell r="V7" t="e">
            <v>#N/A</v>
          </cell>
          <cell r="X7">
            <v>0</v>
          </cell>
          <cell r="Y7">
            <v>50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S7">
            <v>8</v>
          </cell>
          <cell r="AT7">
            <v>8</v>
          </cell>
          <cell r="AU7">
            <v>10</v>
          </cell>
        </row>
        <row r="8">
          <cell r="A8">
            <v>5</v>
          </cell>
          <cell r="B8">
            <v>3</v>
          </cell>
          <cell r="C8" t="str">
            <v>Veteran</v>
          </cell>
          <cell r="D8" t="str">
            <v>Baz Mistry</v>
          </cell>
          <cell r="E8">
            <v>46</v>
          </cell>
          <cell r="F8">
            <v>51</v>
          </cell>
          <cell r="G8">
            <v>0</v>
          </cell>
          <cell r="H8" t="e">
            <v>#N/A</v>
          </cell>
          <cell r="I8" t="e">
            <v>#N/A</v>
          </cell>
          <cell r="J8" t="e">
            <v>#N/A</v>
          </cell>
          <cell r="K8" t="e">
            <v>#N/A</v>
          </cell>
          <cell r="L8" t="e">
            <v>#N/A</v>
          </cell>
          <cell r="M8" t="e">
            <v>#N/A</v>
          </cell>
          <cell r="N8" t="e">
            <v>#N/A</v>
          </cell>
          <cell r="O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e">
            <v>#N/A</v>
          </cell>
          <cell r="U8" t="e">
            <v>#N/A</v>
          </cell>
          <cell r="V8" t="e">
            <v>#N/A</v>
          </cell>
          <cell r="X8">
            <v>46</v>
          </cell>
          <cell r="Y8">
            <v>50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R8" t="str">
            <v xml:space="preserve"> </v>
          </cell>
          <cell r="AS8">
            <v>6</v>
          </cell>
          <cell r="AT8">
            <v>8</v>
          </cell>
          <cell r="AU8">
            <v>8</v>
          </cell>
        </row>
        <row r="9">
          <cell r="A9">
            <v>6</v>
          </cell>
          <cell r="B9">
            <v>3</v>
          </cell>
          <cell r="C9" t="str">
            <v>Veteran</v>
          </cell>
          <cell r="D9" t="str">
            <v>Sanjay Reddy</v>
          </cell>
          <cell r="E9">
            <v>0</v>
          </cell>
          <cell r="F9">
            <v>51</v>
          </cell>
          <cell r="G9">
            <v>0</v>
          </cell>
          <cell r="H9" t="e">
            <v>#N/A</v>
          </cell>
          <cell r="I9" t="e">
            <v>#N/A</v>
          </cell>
          <cell r="J9" t="e">
            <v>#N/A</v>
          </cell>
          <cell r="K9" t="e">
            <v>#N/A</v>
          </cell>
          <cell r="L9" t="e">
            <v>#N/A</v>
          </cell>
          <cell r="M9" t="e">
            <v>#N/A</v>
          </cell>
          <cell r="N9" t="e">
            <v>#N/A</v>
          </cell>
          <cell r="O9" t="e">
            <v>#N/A</v>
          </cell>
          <cell r="P9" t="e">
            <v>#N/A</v>
          </cell>
          <cell r="Q9" t="e">
            <v>#N/A</v>
          </cell>
          <cell r="R9" t="e">
            <v>#N/A</v>
          </cell>
          <cell r="S9" t="e">
            <v>#N/A</v>
          </cell>
          <cell r="T9" t="e">
            <v>#N/A</v>
          </cell>
          <cell r="U9" t="e">
            <v>#N/A</v>
          </cell>
          <cell r="V9" t="e">
            <v>#N/A</v>
          </cell>
          <cell r="X9">
            <v>0</v>
          </cell>
          <cell r="Y9">
            <v>50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S9">
            <v>7</v>
          </cell>
          <cell r="AT9">
            <v>7</v>
          </cell>
          <cell r="AU9">
            <v>9</v>
          </cell>
        </row>
        <row r="10">
          <cell r="A10">
            <v>7</v>
          </cell>
          <cell r="B10">
            <v>4</v>
          </cell>
          <cell r="C10" t="str">
            <v>Veteran</v>
          </cell>
          <cell r="D10" t="str">
            <v>Scot Pineno</v>
          </cell>
          <cell r="E10">
            <v>52</v>
          </cell>
          <cell r="F10">
            <v>52</v>
          </cell>
          <cell r="G10">
            <v>0</v>
          </cell>
          <cell r="H10" t="e">
            <v>#N/A</v>
          </cell>
          <cell r="I10" t="e">
            <v>#N/A</v>
          </cell>
          <cell r="J10" t="e">
            <v>#N/A</v>
          </cell>
          <cell r="K10" t="e">
            <v>#N/A</v>
          </cell>
          <cell r="L10" t="e">
            <v>#N/A</v>
          </cell>
          <cell r="M10" t="e">
            <v>#N/A</v>
          </cell>
          <cell r="N10" t="e">
            <v>#N/A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e">
            <v>#N/A</v>
          </cell>
          <cell r="U10" t="e">
            <v>#N/A</v>
          </cell>
          <cell r="V10" t="e">
            <v>#N/A</v>
          </cell>
          <cell r="X10">
            <v>52</v>
          </cell>
          <cell r="Y10">
            <v>51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S10">
            <v>9</v>
          </cell>
          <cell r="AT10">
            <v>11</v>
          </cell>
          <cell r="AU10">
            <v>11</v>
          </cell>
        </row>
        <row r="11">
          <cell r="A11">
            <v>8</v>
          </cell>
          <cell r="B11">
            <v>4</v>
          </cell>
          <cell r="C11" t="str">
            <v>Veteran</v>
          </cell>
          <cell r="D11" t="str">
            <v>Scott MacKenzie</v>
          </cell>
          <cell r="E11">
            <v>51</v>
          </cell>
          <cell r="F11">
            <v>52</v>
          </cell>
          <cell r="G11">
            <v>0</v>
          </cell>
          <cell r="H11" t="e">
            <v>#N/A</v>
          </cell>
          <cell r="I11" t="e">
            <v>#N/A</v>
          </cell>
          <cell r="J11" t="e">
            <v>#N/A</v>
          </cell>
          <cell r="K11" t="e">
            <v>#N/A</v>
          </cell>
          <cell r="L11" t="e">
            <v>#N/A</v>
          </cell>
          <cell r="M11" t="e">
            <v>#N/A</v>
          </cell>
          <cell r="N11" t="e">
            <v>#N/A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 t="e">
            <v>#N/A</v>
          </cell>
          <cell r="T11" t="e">
            <v>#N/A</v>
          </cell>
          <cell r="U11" t="e">
            <v>#N/A</v>
          </cell>
          <cell r="V11" t="e">
            <v>#N/A</v>
          </cell>
          <cell r="X11">
            <v>51</v>
          </cell>
          <cell r="Y11">
            <v>51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S11">
            <v>10</v>
          </cell>
          <cell r="AT11">
            <v>12</v>
          </cell>
          <cell r="AU11">
            <v>12</v>
          </cell>
        </row>
        <row r="12">
          <cell r="A12">
            <v>9</v>
          </cell>
          <cell r="B12">
            <v>5</v>
          </cell>
          <cell r="C12" t="str">
            <v>Veteran</v>
          </cell>
          <cell r="D12" t="str">
            <v>Jack Carickhoff</v>
          </cell>
          <cell r="E12">
            <v>0</v>
          </cell>
          <cell r="F12">
            <v>39</v>
          </cell>
          <cell r="G12">
            <v>0</v>
          </cell>
          <cell r="H12" t="e">
            <v>#N/A</v>
          </cell>
          <cell r="I12" t="e">
            <v>#N/A</v>
          </cell>
          <cell r="J12" t="e">
            <v>#N/A</v>
          </cell>
          <cell r="K12" t="e">
            <v>#N/A</v>
          </cell>
          <cell r="L12" t="e">
            <v>#N/A</v>
          </cell>
          <cell r="M12" t="e">
            <v>#N/A</v>
          </cell>
          <cell r="N12" t="e">
            <v>#N/A</v>
          </cell>
          <cell r="O12" t="e">
            <v>#N/A</v>
          </cell>
          <cell r="P12" t="e">
            <v>#N/A</v>
          </cell>
          <cell r="Q12" t="e">
            <v>#N/A</v>
          </cell>
          <cell r="R12" t="e">
            <v>#N/A</v>
          </cell>
          <cell r="S12" t="e">
            <v>#N/A</v>
          </cell>
          <cell r="T12" t="e">
            <v>#N/A</v>
          </cell>
          <cell r="U12" t="e">
            <v>#N/A</v>
          </cell>
          <cell r="V12" t="e">
            <v>#N/A</v>
          </cell>
          <cell r="X12">
            <v>0</v>
          </cell>
          <cell r="Y12">
            <v>39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S12">
            <v>2</v>
          </cell>
          <cell r="AT12">
            <v>2</v>
          </cell>
          <cell r="AU12">
            <v>3</v>
          </cell>
        </row>
        <row r="13">
          <cell r="A13">
            <v>10</v>
          </cell>
          <cell r="B13">
            <v>5</v>
          </cell>
          <cell r="C13" t="str">
            <v>Veteran</v>
          </cell>
          <cell r="D13" t="str">
            <v>Mike Celenza</v>
          </cell>
          <cell r="E13">
            <v>58</v>
          </cell>
          <cell r="F13">
            <v>60</v>
          </cell>
          <cell r="G13">
            <v>0</v>
          </cell>
          <cell r="H13" t="e">
            <v>#N/A</v>
          </cell>
          <cell r="I13" t="e">
            <v>#N/A</v>
          </cell>
          <cell r="J13" t="e">
            <v>#N/A</v>
          </cell>
          <cell r="K13" t="e">
            <v>#N/A</v>
          </cell>
          <cell r="L13" t="e">
            <v>#N/A</v>
          </cell>
          <cell r="M13" t="e">
            <v>#N/A</v>
          </cell>
          <cell r="N13" t="e">
            <v>#N/A</v>
          </cell>
          <cell r="O13" t="e">
            <v>#N/A</v>
          </cell>
          <cell r="P13" t="e">
            <v>#N/A</v>
          </cell>
          <cell r="Q13" t="e">
            <v>#N/A</v>
          </cell>
          <cell r="R13" t="e">
            <v>#N/A</v>
          </cell>
          <cell r="S13" t="e">
            <v>#N/A</v>
          </cell>
          <cell r="T13" t="e">
            <v>#N/A</v>
          </cell>
          <cell r="U13" t="e">
            <v>#N/A</v>
          </cell>
          <cell r="V13" t="e">
            <v>#N/A</v>
          </cell>
          <cell r="X13">
            <v>54</v>
          </cell>
          <cell r="Y13">
            <v>57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S13">
            <v>10</v>
          </cell>
          <cell r="AT13">
            <v>12</v>
          </cell>
          <cell r="AU13">
            <v>12</v>
          </cell>
        </row>
        <row r="14">
          <cell r="A14">
            <v>11</v>
          </cell>
          <cell r="B14">
            <v>6</v>
          </cell>
          <cell r="C14" t="str">
            <v>Veteran</v>
          </cell>
          <cell r="D14" t="str">
            <v>Jake Deshaies</v>
          </cell>
          <cell r="E14">
            <v>46</v>
          </cell>
          <cell r="F14">
            <v>38</v>
          </cell>
          <cell r="G14">
            <v>0</v>
          </cell>
          <cell r="H14" t="e">
            <v>#N/A</v>
          </cell>
          <cell r="I14" t="e">
            <v>#N/A</v>
          </cell>
          <cell r="J14" t="e">
            <v>#N/A</v>
          </cell>
          <cell r="K14" t="e">
            <v>#N/A</v>
          </cell>
          <cell r="L14" t="e">
            <v>#N/A</v>
          </cell>
          <cell r="M14" t="e">
            <v>#N/A</v>
          </cell>
          <cell r="N14" t="e">
            <v>#N/A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e">
            <v>#N/A</v>
          </cell>
          <cell r="U14" t="e">
            <v>#N/A</v>
          </cell>
          <cell r="V14" t="e">
            <v>#N/A</v>
          </cell>
          <cell r="X14">
            <v>46</v>
          </cell>
          <cell r="Y14">
            <v>38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S14">
            <v>1</v>
          </cell>
          <cell r="AT14">
            <v>3</v>
          </cell>
          <cell r="AU14">
            <v>3</v>
          </cell>
        </row>
        <row r="15">
          <cell r="A15">
            <v>12</v>
          </cell>
          <cell r="B15">
            <v>6</v>
          </cell>
          <cell r="C15" t="str">
            <v>Veteran</v>
          </cell>
          <cell r="D15" t="str">
            <v>Scott Glascott</v>
          </cell>
          <cell r="E15">
            <v>58</v>
          </cell>
          <cell r="F15">
            <v>58</v>
          </cell>
          <cell r="G15">
            <v>0</v>
          </cell>
          <cell r="H15" t="e">
            <v>#N/A</v>
          </cell>
          <cell r="I15" t="e">
            <v>#N/A</v>
          </cell>
          <cell r="J15" t="e">
            <v>#N/A</v>
          </cell>
          <cell r="K15" t="e">
            <v>#N/A</v>
          </cell>
          <cell r="L15" t="e">
            <v>#N/A</v>
          </cell>
          <cell r="M15" t="e">
            <v>#N/A</v>
          </cell>
          <cell r="N15" t="e">
            <v>#N/A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 t="e">
            <v>#N/A</v>
          </cell>
          <cell r="T15" t="e">
            <v>#N/A</v>
          </cell>
          <cell r="U15" t="e">
            <v>#N/A</v>
          </cell>
          <cell r="V15" t="e">
            <v>#N/A</v>
          </cell>
          <cell r="X15">
            <v>56</v>
          </cell>
          <cell r="Y15">
            <v>57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S15">
            <v>12</v>
          </cell>
          <cell r="AT15">
            <v>14</v>
          </cell>
          <cell r="AU15">
            <v>14</v>
          </cell>
        </row>
        <row r="16">
          <cell r="A16">
            <v>13</v>
          </cell>
          <cell r="B16">
            <v>7</v>
          </cell>
          <cell r="C16" t="str">
            <v>Veteran</v>
          </cell>
          <cell r="D16" t="str">
            <v>John Harvey</v>
          </cell>
          <cell r="E16">
            <v>51</v>
          </cell>
          <cell r="F16">
            <v>50</v>
          </cell>
          <cell r="G16">
            <v>0</v>
          </cell>
          <cell r="H16" t="e">
            <v>#N/A</v>
          </cell>
          <cell r="I16" t="e">
            <v>#N/A</v>
          </cell>
          <cell r="J16" t="e">
            <v>#N/A</v>
          </cell>
          <cell r="K16" t="e">
            <v>#N/A</v>
          </cell>
          <cell r="L16" t="e">
            <v>#N/A</v>
          </cell>
          <cell r="M16" t="e">
            <v>#N/A</v>
          </cell>
          <cell r="N16" t="e">
            <v>#N/A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e">
            <v>#N/A</v>
          </cell>
          <cell r="T16" t="e">
            <v>#N/A</v>
          </cell>
          <cell r="U16" t="e">
            <v>#N/A</v>
          </cell>
          <cell r="V16" t="e">
            <v>#N/A</v>
          </cell>
          <cell r="X16">
            <v>51</v>
          </cell>
          <cell r="Y16">
            <v>50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S16">
            <v>9</v>
          </cell>
          <cell r="AT16">
            <v>11</v>
          </cell>
          <cell r="AU16">
            <v>11</v>
          </cell>
        </row>
        <row r="17">
          <cell r="A17">
            <v>14</v>
          </cell>
          <cell r="B17">
            <v>7</v>
          </cell>
          <cell r="C17" t="str">
            <v>Veteran</v>
          </cell>
          <cell r="D17" t="str">
            <v>Jeff Rowles</v>
          </cell>
          <cell r="E17">
            <v>53</v>
          </cell>
          <cell r="F17">
            <v>43</v>
          </cell>
          <cell r="G17">
            <v>0</v>
          </cell>
          <cell r="H17" t="e">
            <v>#N/A</v>
          </cell>
          <cell r="I17" t="e">
            <v>#N/A</v>
          </cell>
          <cell r="J17" t="e">
            <v>#N/A</v>
          </cell>
          <cell r="K17" t="e">
            <v>#N/A</v>
          </cell>
          <cell r="L17" t="e">
            <v>#N/A</v>
          </cell>
          <cell r="M17" t="e">
            <v>#N/A</v>
          </cell>
          <cell r="N17" t="e">
            <v>#N/A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  <cell r="X17">
            <v>53</v>
          </cell>
          <cell r="Y17">
            <v>43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S17">
            <v>11</v>
          </cell>
          <cell r="AT17">
            <v>13</v>
          </cell>
          <cell r="AU17">
            <v>11</v>
          </cell>
        </row>
        <row r="18">
          <cell r="A18">
            <v>15</v>
          </cell>
          <cell r="B18">
            <v>8</v>
          </cell>
          <cell r="C18" t="str">
            <v>Veteran</v>
          </cell>
          <cell r="D18" t="str">
            <v>Bob Saenz</v>
          </cell>
          <cell r="E18">
            <v>45</v>
          </cell>
          <cell r="F18">
            <v>52</v>
          </cell>
          <cell r="G18">
            <v>0</v>
          </cell>
          <cell r="H18" t="e">
            <v>#N/A</v>
          </cell>
          <cell r="I18" t="e">
            <v>#N/A</v>
          </cell>
          <cell r="J18" t="e">
            <v>#N/A</v>
          </cell>
          <cell r="K18" t="e">
            <v>#N/A</v>
          </cell>
          <cell r="L18" t="e">
            <v>#N/A</v>
          </cell>
          <cell r="M18" t="e">
            <v>#N/A</v>
          </cell>
          <cell r="N18" t="e">
            <v>#N/A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 t="e">
            <v>#N/A</v>
          </cell>
          <cell r="V18" t="e">
            <v>#N/A</v>
          </cell>
          <cell r="X18">
            <v>45</v>
          </cell>
          <cell r="Y18">
            <v>52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S18">
            <v>7</v>
          </cell>
          <cell r="AT18">
            <v>7</v>
          </cell>
          <cell r="AU18">
            <v>9</v>
          </cell>
        </row>
        <row r="19">
          <cell r="A19">
            <v>16</v>
          </cell>
          <cell r="B19">
            <v>8</v>
          </cell>
          <cell r="C19" t="str">
            <v>Veteran</v>
          </cell>
          <cell r="D19" t="str">
            <v>Dennis Huston</v>
          </cell>
          <cell r="E19">
            <v>45</v>
          </cell>
          <cell r="F19">
            <v>47</v>
          </cell>
          <cell r="G19">
            <v>0</v>
          </cell>
          <cell r="H19" t="e">
            <v>#N/A</v>
          </cell>
          <cell r="I19" t="e">
            <v>#N/A</v>
          </cell>
          <cell r="J19" t="e">
            <v>#N/A</v>
          </cell>
          <cell r="K19" t="e">
            <v>#N/A</v>
          </cell>
          <cell r="L19" t="e">
            <v>#N/A</v>
          </cell>
          <cell r="M19" t="e">
            <v>#N/A</v>
          </cell>
          <cell r="N19" t="e">
            <v>#N/A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e">
            <v>#N/A</v>
          </cell>
          <cell r="T19" t="e">
            <v>#N/A</v>
          </cell>
          <cell r="U19" t="e">
            <v>#N/A</v>
          </cell>
          <cell r="V19" t="e">
            <v>#N/A</v>
          </cell>
          <cell r="X19">
            <v>45</v>
          </cell>
          <cell r="Y19">
            <v>47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S19">
            <v>11</v>
          </cell>
          <cell r="AT19">
            <v>11</v>
          </cell>
          <cell r="AU19">
            <v>9</v>
          </cell>
        </row>
        <row r="20">
          <cell r="A20">
            <v>17</v>
          </cell>
          <cell r="B20">
            <v>9</v>
          </cell>
          <cell r="C20" t="str">
            <v>Veteran</v>
          </cell>
          <cell r="D20" t="str">
            <v>Chris Fahey</v>
          </cell>
          <cell r="E20">
            <v>0</v>
          </cell>
          <cell r="F20">
            <v>48</v>
          </cell>
          <cell r="G20">
            <v>0</v>
          </cell>
          <cell r="H20" t="e">
            <v>#N/A</v>
          </cell>
          <cell r="I20" t="e">
            <v>#N/A</v>
          </cell>
          <cell r="J20" t="e">
            <v>#N/A</v>
          </cell>
          <cell r="K20" t="e">
            <v>#N/A</v>
          </cell>
          <cell r="L20" t="e">
            <v>#N/A</v>
          </cell>
          <cell r="M20" t="e">
            <v>#N/A</v>
          </cell>
          <cell r="N20" t="e">
            <v>#N/A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 t="e">
            <v>#N/A</v>
          </cell>
          <cell r="T20" t="e">
            <v>#N/A</v>
          </cell>
          <cell r="U20" t="e">
            <v>#N/A</v>
          </cell>
          <cell r="V20" t="e">
            <v>#N/A</v>
          </cell>
          <cell r="X20">
            <v>0</v>
          </cell>
          <cell r="Y20">
            <v>48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S20">
            <v>6</v>
          </cell>
          <cell r="AT20">
            <v>6</v>
          </cell>
          <cell r="AU20">
            <v>8</v>
          </cell>
        </row>
        <row r="21">
          <cell r="A21">
            <v>18</v>
          </cell>
          <cell r="B21">
            <v>9</v>
          </cell>
          <cell r="C21" t="str">
            <v>Rookie</v>
          </cell>
          <cell r="D21" t="str">
            <v>JC Olivos</v>
          </cell>
          <cell r="E21">
            <v>47</v>
          </cell>
          <cell r="F21">
            <v>53</v>
          </cell>
          <cell r="G21">
            <v>0</v>
          </cell>
          <cell r="H21" t="e">
            <v>#N/A</v>
          </cell>
          <cell r="I21" t="e">
            <v>#N/A</v>
          </cell>
          <cell r="J21" t="e">
            <v>#N/A</v>
          </cell>
          <cell r="K21" t="e">
            <v>#N/A</v>
          </cell>
          <cell r="L21" t="e">
            <v>#N/A</v>
          </cell>
          <cell r="M21" t="e">
            <v>#N/A</v>
          </cell>
          <cell r="N21" t="e">
            <v>#N/A</v>
          </cell>
          <cell r="O21" t="e">
            <v>#N/A</v>
          </cell>
          <cell r="P21" t="e">
            <v>#N/A</v>
          </cell>
          <cell r="Q21" t="e">
            <v>#N/A</v>
          </cell>
          <cell r="R21" t="e">
            <v>#N/A</v>
          </cell>
          <cell r="S21" t="e">
            <v>#N/A</v>
          </cell>
          <cell r="T21" t="e">
            <v>#N/A</v>
          </cell>
          <cell r="U21" t="e">
            <v>#N/A</v>
          </cell>
          <cell r="V21" t="e">
            <v>#N/A</v>
          </cell>
          <cell r="X21">
            <v>47</v>
          </cell>
          <cell r="Y21">
            <v>52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S21">
            <v>7</v>
          </cell>
          <cell r="AT21">
            <v>7</v>
          </cell>
          <cell r="AU21">
            <v>9</v>
          </cell>
        </row>
        <row r="22">
          <cell r="A22">
            <v>19</v>
          </cell>
          <cell r="B22">
            <v>10</v>
          </cell>
          <cell r="C22" t="str">
            <v>Veteran</v>
          </cell>
          <cell r="D22" t="str">
            <v>Tom Mulvey</v>
          </cell>
          <cell r="E22">
            <v>49</v>
          </cell>
          <cell r="F22">
            <v>43</v>
          </cell>
          <cell r="G22">
            <v>0</v>
          </cell>
          <cell r="H22" t="e">
            <v>#N/A</v>
          </cell>
          <cell r="I22" t="e">
            <v>#N/A</v>
          </cell>
          <cell r="J22" t="e">
            <v>#N/A</v>
          </cell>
          <cell r="K22" t="e">
            <v>#N/A</v>
          </cell>
          <cell r="L22" t="e">
            <v>#N/A</v>
          </cell>
          <cell r="M22" t="e">
            <v>#N/A</v>
          </cell>
          <cell r="N22" t="e">
            <v>#N/A</v>
          </cell>
          <cell r="O22" t="e">
            <v>#N/A</v>
          </cell>
          <cell r="P22" t="e">
            <v>#N/A</v>
          </cell>
          <cell r="Q22" t="e">
            <v>#N/A</v>
          </cell>
          <cell r="R22" t="e">
            <v>#N/A</v>
          </cell>
          <cell r="S22" t="e">
            <v>#N/A</v>
          </cell>
          <cell r="T22" t="e">
            <v>#N/A</v>
          </cell>
          <cell r="U22" t="e">
            <v>#N/A</v>
          </cell>
          <cell r="V22" t="e">
            <v>#N/A</v>
          </cell>
          <cell r="W22" t="str">
            <v xml:space="preserve"> </v>
          </cell>
          <cell r="X22">
            <v>48</v>
          </cell>
          <cell r="Y22">
            <v>43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S22">
            <v>8</v>
          </cell>
          <cell r="AT22">
            <v>10</v>
          </cell>
          <cell r="AU22">
            <v>9</v>
          </cell>
        </row>
        <row r="23">
          <cell r="A23">
            <v>20</v>
          </cell>
          <cell r="B23">
            <v>10</v>
          </cell>
          <cell r="C23" t="str">
            <v>Rookie</v>
          </cell>
          <cell r="D23" t="str">
            <v>Chris Nelson</v>
          </cell>
          <cell r="E23">
            <v>47</v>
          </cell>
          <cell r="F23">
            <v>40</v>
          </cell>
          <cell r="G23">
            <v>0</v>
          </cell>
          <cell r="H23" t="e">
            <v>#N/A</v>
          </cell>
          <cell r="I23" t="e">
            <v>#N/A</v>
          </cell>
          <cell r="J23" t="e">
            <v>#N/A</v>
          </cell>
          <cell r="K23" t="e">
            <v>#N/A</v>
          </cell>
          <cell r="L23" t="e">
            <v>#N/A</v>
          </cell>
          <cell r="M23" t="e">
            <v>#N/A</v>
          </cell>
          <cell r="N23" t="e">
            <v>#N/A</v>
          </cell>
          <cell r="O23" t="e">
            <v>#N/A</v>
          </cell>
          <cell r="P23" t="e">
            <v>#N/A</v>
          </cell>
          <cell r="Q23" t="e">
            <v>#N/A</v>
          </cell>
          <cell r="R23" t="e">
            <v>#N/A</v>
          </cell>
          <cell r="S23" t="e">
            <v>#N/A</v>
          </cell>
          <cell r="T23" t="e">
            <v>#N/A</v>
          </cell>
          <cell r="U23" t="e">
            <v>#N/A</v>
          </cell>
          <cell r="V23" t="e">
            <v>#N/A</v>
          </cell>
          <cell r="X23">
            <v>47</v>
          </cell>
          <cell r="Y23">
            <v>40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S23">
            <v>7</v>
          </cell>
          <cell r="AT23">
            <v>7</v>
          </cell>
          <cell r="AU23">
            <v>5</v>
          </cell>
        </row>
        <row r="24">
          <cell r="A24">
            <v>21</v>
          </cell>
          <cell r="B24">
            <v>11</v>
          </cell>
          <cell r="C24" t="str">
            <v>Veteran</v>
          </cell>
          <cell r="D24" t="str">
            <v>Jack West</v>
          </cell>
          <cell r="E24">
            <v>50</v>
          </cell>
          <cell r="F24">
            <v>48</v>
          </cell>
          <cell r="G24">
            <v>0</v>
          </cell>
          <cell r="H24" t="e">
            <v>#N/A</v>
          </cell>
          <cell r="I24" t="e">
            <v>#N/A</v>
          </cell>
          <cell r="J24" t="e">
            <v>#N/A</v>
          </cell>
          <cell r="K24" t="e">
            <v>#N/A</v>
          </cell>
          <cell r="L24" t="e">
            <v>#N/A</v>
          </cell>
          <cell r="M24" t="e">
            <v>#N/A</v>
          </cell>
          <cell r="N24" t="e">
            <v>#N/A</v>
          </cell>
          <cell r="O24" t="e">
            <v>#N/A</v>
          </cell>
          <cell r="P24" t="e">
            <v>#N/A</v>
          </cell>
          <cell r="Q24" t="e">
            <v>#N/A</v>
          </cell>
          <cell r="R24" t="e">
            <v>#N/A</v>
          </cell>
          <cell r="S24" t="e">
            <v>#N/A</v>
          </cell>
          <cell r="T24" t="e">
            <v>#N/A</v>
          </cell>
          <cell r="U24" t="e">
            <v>#N/A</v>
          </cell>
          <cell r="V24" t="e">
            <v>#N/A</v>
          </cell>
          <cell r="X24">
            <v>50</v>
          </cell>
          <cell r="Y24">
            <v>48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S24">
            <v>12</v>
          </cell>
          <cell r="AT24">
            <v>13</v>
          </cell>
          <cell r="AU24">
            <v>12</v>
          </cell>
        </row>
        <row r="25">
          <cell r="A25">
            <v>22</v>
          </cell>
          <cell r="B25">
            <v>11</v>
          </cell>
          <cell r="C25" t="str">
            <v>Veteran</v>
          </cell>
          <cell r="D25" t="str">
            <v>Ron Herman</v>
          </cell>
          <cell r="E25">
            <v>57</v>
          </cell>
          <cell r="F25">
            <v>52</v>
          </cell>
          <cell r="G25">
            <v>0</v>
          </cell>
          <cell r="H25" t="e">
            <v>#N/A</v>
          </cell>
          <cell r="I25" t="e">
            <v>#N/A</v>
          </cell>
          <cell r="J25" t="e">
            <v>#N/A</v>
          </cell>
          <cell r="K25" t="e">
            <v>#N/A</v>
          </cell>
          <cell r="L25" t="e">
            <v>#N/A</v>
          </cell>
          <cell r="M25" t="e">
            <v>#N/A</v>
          </cell>
          <cell r="N25" t="e">
            <v>#N/A</v>
          </cell>
          <cell r="O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 t="e">
            <v>#N/A</v>
          </cell>
          <cell r="T25" t="e">
            <v>#N/A</v>
          </cell>
          <cell r="U25" t="e">
            <v>#N/A</v>
          </cell>
          <cell r="V25" t="e">
            <v>#N/A</v>
          </cell>
          <cell r="W25" t="str">
            <v xml:space="preserve"> </v>
          </cell>
          <cell r="X25">
            <v>57</v>
          </cell>
          <cell r="Y25">
            <v>52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S25">
            <v>15</v>
          </cell>
          <cell r="AT25">
            <v>17</v>
          </cell>
          <cell r="AU25">
            <v>17</v>
          </cell>
        </row>
        <row r="26">
          <cell r="A26">
            <v>23</v>
          </cell>
          <cell r="B26">
            <v>12</v>
          </cell>
          <cell r="C26" t="str">
            <v>Veteran</v>
          </cell>
          <cell r="D26" t="str">
            <v>Gabe Lorenz</v>
          </cell>
          <cell r="E26">
            <v>54</v>
          </cell>
          <cell r="F26">
            <v>54</v>
          </cell>
          <cell r="G26">
            <v>0</v>
          </cell>
          <cell r="H26" t="e">
            <v>#N/A</v>
          </cell>
          <cell r="I26" t="e">
            <v>#N/A</v>
          </cell>
          <cell r="J26" t="e">
            <v>#N/A</v>
          </cell>
          <cell r="K26" t="e">
            <v>#N/A</v>
          </cell>
          <cell r="L26" t="e">
            <v>#N/A</v>
          </cell>
          <cell r="M26" t="e">
            <v>#N/A</v>
          </cell>
          <cell r="N26" t="e">
            <v>#N/A</v>
          </cell>
          <cell r="O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e">
            <v>#N/A</v>
          </cell>
          <cell r="T26" t="e">
            <v>#N/A</v>
          </cell>
          <cell r="U26" t="e">
            <v>#N/A</v>
          </cell>
          <cell r="V26" t="e">
            <v>#N/A</v>
          </cell>
          <cell r="X26">
            <v>54</v>
          </cell>
          <cell r="Y26">
            <v>54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S26">
            <v>11</v>
          </cell>
          <cell r="AT26">
            <v>13</v>
          </cell>
          <cell r="AU26">
            <v>13</v>
          </cell>
        </row>
        <row r="27">
          <cell r="A27">
            <v>24</v>
          </cell>
          <cell r="B27">
            <v>12</v>
          </cell>
          <cell r="C27" t="str">
            <v>Veteran</v>
          </cell>
          <cell r="D27" t="str">
            <v>Jake Huckestein</v>
          </cell>
          <cell r="E27">
            <v>41</v>
          </cell>
          <cell r="F27">
            <v>40</v>
          </cell>
          <cell r="G27">
            <v>0</v>
          </cell>
          <cell r="H27" t="e">
            <v>#N/A</v>
          </cell>
          <cell r="I27" t="e">
            <v>#N/A</v>
          </cell>
          <cell r="J27" t="e">
            <v>#N/A</v>
          </cell>
          <cell r="K27" t="e">
            <v>#N/A</v>
          </cell>
          <cell r="L27" t="e">
            <v>#N/A</v>
          </cell>
          <cell r="M27" t="e">
            <v>#N/A</v>
          </cell>
          <cell r="N27" t="e">
            <v>#N/A</v>
          </cell>
          <cell r="O27" t="e">
            <v>#N/A</v>
          </cell>
          <cell r="P27" t="e">
            <v>#N/A</v>
          </cell>
          <cell r="Q27" t="e">
            <v>#N/A</v>
          </cell>
          <cell r="R27" t="e">
            <v>#N/A</v>
          </cell>
          <cell r="S27" t="e">
            <v>#N/A</v>
          </cell>
          <cell r="T27" t="e">
            <v>#N/A</v>
          </cell>
          <cell r="U27" t="e">
            <v>#N/A</v>
          </cell>
          <cell r="V27" t="e">
            <v>#N/A</v>
          </cell>
          <cell r="X27">
            <v>41</v>
          </cell>
          <cell r="Y27">
            <v>40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S27">
            <v>3</v>
          </cell>
          <cell r="AT27">
            <v>5</v>
          </cell>
          <cell r="AU27">
            <v>4</v>
          </cell>
        </row>
        <row r="28">
          <cell r="A28">
            <v>25</v>
          </cell>
          <cell r="B28">
            <v>13</v>
          </cell>
          <cell r="C28" t="str">
            <v>Veteran</v>
          </cell>
          <cell r="D28" t="str">
            <v>Betsy Wagner</v>
          </cell>
          <cell r="E28">
            <v>60</v>
          </cell>
          <cell r="F28">
            <v>61</v>
          </cell>
          <cell r="G28">
            <v>0</v>
          </cell>
          <cell r="H28" t="e">
            <v>#N/A</v>
          </cell>
          <cell r="I28" t="e">
            <v>#N/A</v>
          </cell>
          <cell r="J28" t="e">
            <v>#N/A</v>
          </cell>
          <cell r="K28" t="e">
            <v>#N/A</v>
          </cell>
          <cell r="L28" t="e">
            <v>#N/A</v>
          </cell>
          <cell r="M28" t="e">
            <v>#N/A</v>
          </cell>
          <cell r="N28" t="e">
            <v>#N/A</v>
          </cell>
          <cell r="O28" t="e">
            <v>#N/A</v>
          </cell>
          <cell r="P28" t="e">
            <v>#N/A</v>
          </cell>
          <cell r="Q28" t="e">
            <v>#N/A</v>
          </cell>
          <cell r="R28" t="e">
            <v>#N/A</v>
          </cell>
          <cell r="S28" t="e">
            <v>#N/A</v>
          </cell>
          <cell r="T28" t="e">
            <v>#N/A</v>
          </cell>
          <cell r="U28" t="e">
            <v>#N/A</v>
          </cell>
          <cell r="V28" t="e">
            <v>#N/A</v>
          </cell>
          <cell r="X28">
            <v>60</v>
          </cell>
          <cell r="Y28">
            <v>61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S28">
            <v>16</v>
          </cell>
          <cell r="AT28">
            <v>18</v>
          </cell>
          <cell r="AU28">
            <v>18</v>
          </cell>
        </row>
        <row r="29">
          <cell r="A29">
            <v>26</v>
          </cell>
          <cell r="B29">
            <v>13</v>
          </cell>
          <cell r="C29" t="str">
            <v>Veteran</v>
          </cell>
          <cell r="D29" t="str">
            <v>Gordon Hammond</v>
          </cell>
          <cell r="E29">
            <v>47</v>
          </cell>
          <cell r="F29">
            <v>46</v>
          </cell>
          <cell r="G29">
            <v>0</v>
          </cell>
          <cell r="H29" t="e">
            <v>#N/A</v>
          </cell>
          <cell r="I29" t="e">
            <v>#N/A</v>
          </cell>
          <cell r="J29" t="e">
            <v>#N/A</v>
          </cell>
          <cell r="K29" t="e">
            <v>#N/A</v>
          </cell>
          <cell r="L29" t="e">
            <v>#N/A</v>
          </cell>
          <cell r="M29" t="e">
            <v>#N/A</v>
          </cell>
          <cell r="N29" t="e">
            <v>#N/A</v>
          </cell>
          <cell r="O29" t="e">
            <v>#N/A</v>
          </cell>
          <cell r="P29" t="e">
            <v>#N/A</v>
          </cell>
          <cell r="Q29" t="e">
            <v>#N/A</v>
          </cell>
          <cell r="R29" t="e">
            <v>#N/A</v>
          </cell>
          <cell r="S29" t="e">
            <v>#N/A</v>
          </cell>
          <cell r="T29" t="e">
            <v>#N/A</v>
          </cell>
          <cell r="U29" t="e">
            <v>#N/A</v>
          </cell>
          <cell r="V29" t="e">
            <v>#N/A</v>
          </cell>
          <cell r="X29">
            <v>47</v>
          </cell>
          <cell r="Y29">
            <v>46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S29">
            <v>12</v>
          </cell>
          <cell r="AT29">
            <v>10</v>
          </cell>
          <cell r="AU29">
            <v>9</v>
          </cell>
        </row>
        <row r="30">
          <cell r="A30">
            <v>27</v>
          </cell>
          <cell r="B30">
            <v>14</v>
          </cell>
          <cell r="C30" t="str">
            <v>Veteran</v>
          </cell>
          <cell r="D30" t="str">
            <v>John Franks</v>
          </cell>
          <cell r="E30">
            <v>49</v>
          </cell>
          <cell r="F30">
            <v>51</v>
          </cell>
          <cell r="G30">
            <v>0</v>
          </cell>
          <cell r="H30" t="e">
            <v>#N/A</v>
          </cell>
          <cell r="I30" t="e">
            <v>#N/A</v>
          </cell>
          <cell r="J30" t="e">
            <v>#N/A</v>
          </cell>
          <cell r="K30" t="e">
            <v>#N/A</v>
          </cell>
          <cell r="L30" t="e">
            <v>#N/A</v>
          </cell>
          <cell r="M30" t="e">
            <v>#N/A</v>
          </cell>
          <cell r="N30" t="e">
            <v>#N/A</v>
          </cell>
          <cell r="O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e">
            <v>#N/A</v>
          </cell>
          <cell r="T30" t="e">
            <v>#N/A</v>
          </cell>
          <cell r="U30" t="e">
            <v>#N/A</v>
          </cell>
          <cell r="V30" t="e">
            <v>#N/A</v>
          </cell>
          <cell r="X30">
            <v>49</v>
          </cell>
          <cell r="Y30">
            <v>51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S30">
            <v>9</v>
          </cell>
          <cell r="AT30">
            <v>11</v>
          </cell>
          <cell r="AU30">
            <v>11</v>
          </cell>
        </row>
        <row r="31">
          <cell r="A31">
            <v>28</v>
          </cell>
          <cell r="B31">
            <v>14</v>
          </cell>
          <cell r="C31" t="str">
            <v>Rookie</v>
          </cell>
          <cell r="D31" t="str">
            <v>Scott Lightbody</v>
          </cell>
          <cell r="E31">
            <v>38</v>
          </cell>
          <cell r="F31">
            <v>39</v>
          </cell>
          <cell r="G31">
            <v>0</v>
          </cell>
          <cell r="H31" t="e">
            <v>#N/A</v>
          </cell>
          <cell r="I31" t="e">
            <v>#N/A</v>
          </cell>
          <cell r="J31" t="e">
            <v>#N/A</v>
          </cell>
          <cell r="K31" t="e">
            <v>#N/A</v>
          </cell>
          <cell r="L31" t="e">
            <v>#N/A</v>
          </cell>
          <cell r="M31" t="e">
            <v>#N/A</v>
          </cell>
          <cell r="N31" t="e">
            <v>#N/A</v>
          </cell>
          <cell r="O31" t="e">
            <v>#N/A</v>
          </cell>
          <cell r="P31" t="e">
            <v>#N/A</v>
          </cell>
          <cell r="Q31" t="e">
            <v>#N/A</v>
          </cell>
          <cell r="R31" t="e">
            <v>#N/A</v>
          </cell>
          <cell r="S31" t="e">
            <v>#N/A</v>
          </cell>
          <cell r="T31" t="e">
            <v>#N/A</v>
          </cell>
          <cell r="U31" t="e">
            <v>#N/A</v>
          </cell>
          <cell r="V31" t="e">
            <v>#N/A</v>
          </cell>
          <cell r="X31">
            <v>38</v>
          </cell>
          <cell r="Y31">
            <v>39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S31">
            <v>1</v>
          </cell>
          <cell r="AT31">
            <v>1</v>
          </cell>
          <cell r="AU31">
            <v>2</v>
          </cell>
        </row>
        <row r="32">
          <cell r="A32">
            <v>29</v>
          </cell>
          <cell r="B32">
            <v>15</v>
          </cell>
          <cell r="C32" t="str">
            <v>Rookie</v>
          </cell>
          <cell r="D32" t="str">
            <v>Jesse Jurden</v>
          </cell>
          <cell r="E32">
            <v>0</v>
          </cell>
          <cell r="F32">
            <v>58</v>
          </cell>
          <cell r="G32">
            <v>0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  <cell r="N32" t="e">
            <v>#N/A</v>
          </cell>
          <cell r="O32" t="e">
            <v>#N/A</v>
          </cell>
          <cell r="P32" t="e">
            <v>#N/A</v>
          </cell>
          <cell r="Q32" t="e">
            <v>#N/A</v>
          </cell>
          <cell r="R32" t="e">
            <v>#N/A</v>
          </cell>
          <cell r="S32" t="e">
            <v>#N/A</v>
          </cell>
          <cell r="T32" t="e">
            <v>#N/A</v>
          </cell>
          <cell r="U32" t="e">
            <v>#N/A</v>
          </cell>
          <cell r="V32" t="e">
            <v>#N/A</v>
          </cell>
          <cell r="X32">
            <v>0</v>
          </cell>
          <cell r="Y32">
            <v>56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S32">
            <v>14</v>
          </cell>
          <cell r="AT32">
            <v>14</v>
          </cell>
          <cell r="AU32">
            <v>13</v>
          </cell>
        </row>
        <row r="33">
          <cell r="A33">
            <v>30</v>
          </cell>
          <cell r="B33">
            <v>15</v>
          </cell>
          <cell r="C33" t="str">
            <v>Rookie</v>
          </cell>
          <cell r="D33" t="str">
            <v>Tracy Shantz</v>
          </cell>
          <cell r="E33">
            <v>55</v>
          </cell>
          <cell r="F33">
            <v>48</v>
          </cell>
          <cell r="G33">
            <v>0</v>
          </cell>
          <cell r="H33" t="e">
            <v>#N/A</v>
          </cell>
          <cell r="I33" t="e">
            <v>#N/A</v>
          </cell>
          <cell r="J33" t="e">
            <v>#N/A</v>
          </cell>
          <cell r="K33" t="e">
            <v>#N/A</v>
          </cell>
          <cell r="L33" t="e">
            <v>#N/A</v>
          </cell>
          <cell r="M33" t="e">
            <v>#N/A</v>
          </cell>
          <cell r="N33" t="e">
            <v>#N/A</v>
          </cell>
          <cell r="O33" t="e">
            <v>#N/A</v>
          </cell>
          <cell r="P33" t="e">
            <v>#N/A</v>
          </cell>
          <cell r="Q33" t="e">
            <v>#N/A</v>
          </cell>
          <cell r="R33" t="e">
            <v>#N/A</v>
          </cell>
          <cell r="S33" t="e">
            <v>#N/A</v>
          </cell>
          <cell r="T33" t="e">
            <v>#N/A</v>
          </cell>
          <cell r="U33" t="e">
            <v>#N/A</v>
          </cell>
          <cell r="V33" t="e">
            <v>#N/A</v>
          </cell>
          <cell r="X33">
            <v>55</v>
          </cell>
          <cell r="Y33">
            <v>48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S33">
            <v>11</v>
          </cell>
          <cell r="AT33">
            <v>12</v>
          </cell>
          <cell r="AU33">
            <v>10</v>
          </cell>
        </row>
        <row r="34">
          <cell r="A34">
            <v>31</v>
          </cell>
          <cell r="B34">
            <v>16</v>
          </cell>
          <cell r="C34" t="str">
            <v>Veteran</v>
          </cell>
          <cell r="D34" t="str">
            <v>Rhonda Lukas</v>
          </cell>
          <cell r="E34">
            <v>47</v>
          </cell>
          <cell r="F34">
            <v>45</v>
          </cell>
          <cell r="G34">
            <v>0</v>
          </cell>
          <cell r="H34" t="e">
            <v>#N/A</v>
          </cell>
          <cell r="I34" t="e">
            <v>#N/A</v>
          </cell>
          <cell r="J34" t="e">
            <v>#N/A</v>
          </cell>
          <cell r="K34" t="e">
            <v>#N/A</v>
          </cell>
          <cell r="L34" t="e">
            <v>#N/A</v>
          </cell>
          <cell r="M34" t="e">
            <v>#N/A</v>
          </cell>
          <cell r="N34" t="e">
            <v>#N/A</v>
          </cell>
          <cell r="O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X34">
            <v>47</v>
          </cell>
          <cell r="Y34">
            <v>45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S34">
            <v>9</v>
          </cell>
          <cell r="AT34">
            <v>10</v>
          </cell>
          <cell r="AU34">
            <v>9</v>
          </cell>
        </row>
        <row r="35">
          <cell r="A35">
            <v>32</v>
          </cell>
          <cell r="B35">
            <v>16</v>
          </cell>
          <cell r="C35" t="str">
            <v>Veteran</v>
          </cell>
          <cell r="D35" t="str">
            <v>Carol Blizard</v>
          </cell>
          <cell r="E35">
            <v>0</v>
          </cell>
          <cell r="F35">
            <v>71</v>
          </cell>
          <cell r="G35">
            <v>0</v>
          </cell>
          <cell r="H35" t="e">
            <v>#N/A</v>
          </cell>
          <cell r="I35" t="e">
            <v>#N/A</v>
          </cell>
          <cell r="J35" t="e">
            <v>#N/A</v>
          </cell>
          <cell r="K35" t="e">
            <v>#N/A</v>
          </cell>
          <cell r="L35" t="e">
            <v>#N/A</v>
          </cell>
          <cell r="M35" t="e">
            <v>#N/A</v>
          </cell>
          <cell r="N35" t="e">
            <v>#N/A</v>
          </cell>
          <cell r="O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e">
            <v>#N/A</v>
          </cell>
          <cell r="U35" t="e">
            <v>#N/A</v>
          </cell>
          <cell r="V35" t="e">
            <v>#N/A</v>
          </cell>
          <cell r="X35">
            <v>0</v>
          </cell>
          <cell r="Y35">
            <v>71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S35">
            <v>31</v>
          </cell>
          <cell r="AT35">
            <v>31</v>
          </cell>
          <cell r="AU35">
            <v>32</v>
          </cell>
        </row>
        <row r="36">
          <cell r="A36">
            <v>33</v>
          </cell>
          <cell r="B36">
            <v>17</v>
          </cell>
          <cell r="C36" t="str">
            <v>Veteran</v>
          </cell>
          <cell r="D36" t="str">
            <v>Russ Posey</v>
          </cell>
          <cell r="E36">
            <v>0</v>
          </cell>
          <cell r="F36">
            <v>47</v>
          </cell>
          <cell r="G36">
            <v>0</v>
          </cell>
          <cell r="H36" t="e">
            <v>#N/A</v>
          </cell>
          <cell r="I36" t="e">
            <v>#N/A</v>
          </cell>
          <cell r="J36" t="e">
            <v>#N/A</v>
          </cell>
          <cell r="K36" t="e">
            <v>#N/A</v>
          </cell>
          <cell r="L36" t="e">
            <v>#N/A</v>
          </cell>
          <cell r="M36" t="e">
            <v>#N/A</v>
          </cell>
          <cell r="N36" t="e">
            <v>#N/A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X36">
            <v>0</v>
          </cell>
          <cell r="Y36">
            <v>47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S36">
            <v>10</v>
          </cell>
          <cell r="AT36">
            <v>10</v>
          </cell>
          <cell r="AU36">
            <v>10</v>
          </cell>
        </row>
        <row r="37">
          <cell r="A37">
            <v>34</v>
          </cell>
          <cell r="B37">
            <v>17</v>
          </cell>
          <cell r="C37" t="str">
            <v>Rookie</v>
          </cell>
          <cell r="D37" t="str">
            <v>Aret Minasian</v>
          </cell>
          <cell r="E37">
            <v>0</v>
          </cell>
          <cell r="F37">
            <v>50</v>
          </cell>
          <cell r="G37">
            <v>0</v>
          </cell>
          <cell r="H37" t="e">
            <v>#N/A</v>
          </cell>
          <cell r="I37" t="e">
            <v>#N/A</v>
          </cell>
          <cell r="J37" t="e">
            <v>#N/A</v>
          </cell>
          <cell r="K37" t="e">
            <v>#N/A</v>
          </cell>
          <cell r="L37" t="e">
            <v>#N/A</v>
          </cell>
          <cell r="M37" t="e">
            <v>#N/A</v>
          </cell>
          <cell r="N37" t="e">
            <v>#N/A</v>
          </cell>
          <cell r="O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S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X37">
            <v>0</v>
          </cell>
          <cell r="Y37">
            <v>49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S37">
            <v>9</v>
          </cell>
          <cell r="AT37">
            <v>9</v>
          </cell>
          <cell r="AU37">
            <v>8</v>
          </cell>
        </row>
        <row r="38">
          <cell r="A38">
            <v>35</v>
          </cell>
          <cell r="B38">
            <v>18</v>
          </cell>
          <cell r="C38" t="str">
            <v>Veteran</v>
          </cell>
          <cell r="D38" t="str">
            <v>Barry Pavelik</v>
          </cell>
          <cell r="E38">
            <v>60</v>
          </cell>
          <cell r="F38">
            <v>61</v>
          </cell>
          <cell r="G38">
            <v>0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  <cell r="N38" t="e">
            <v>#N/A</v>
          </cell>
          <cell r="O38" t="e">
            <v>#N/A</v>
          </cell>
          <cell r="P38" t="e">
            <v>#N/A</v>
          </cell>
          <cell r="Q38" t="e">
            <v>#N/A</v>
          </cell>
          <cell r="R38" t="e">
            <v>#N/A</v>
          </cell>
          <cell r="S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X38">
            <v>60</v>
          </cell>
          <cell r="Y38">
            <v>61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S38">
            <v>19</v>
          </cell>
          <cell r="AT38">
            <v>21</v>
          </cell>
          <cell r="AU38">
            <v>21</v>
          </cell>
        </row>
        <row r="39">
          <cell r="A39">
            <v>36</v>
          </cell>
          <cell r="B39">
            <v>18</v>
          </cell>
          <cell r="C39" t="str">
            <v>Rookie</v>
          </cell>
          <cell r="D39" t="str">
            <v>Mark Mitchell</v>
          </cell>
          <cell r="E39">
            <v>60</v>
          </cell>
          <cell r="F39">
            <v>53</v>
          </cell>
          <cell r="G39">
            <v>0</v>
          </cell>
          <cell r="H39" t="e">
            <v>#N/A</v>
          </cell>
          <cell r="I39" t="e">
            <v>#N/A</v>
          </cell>
          <cell r="J39" t="e">
            <v>#N/A</v>
          </cell>
          <cell r="K39" t="e">
            <v>#N/A</v>
          </cell>
          <cell r="L39" t="e">
            <v>#N/A</v>
          </cell>
          <cell r="M39" t="e">
            <v>#N/A</v>
          </cell>
          <cell r="N39" t="e">
            <v>#N/A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X39">
            <v>60</v>
          </cell>
          <cell r="Y39">
            <v>53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S39">
            <v>14</v>
          </cell>
          <cell r="AT39">
            <v>16</v>
          </cell>
          <cell r="AU39">
            <v>13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54CB-E1C3-4FB7-B71C-BB7770535EC3}">
  <dimension ref="A1:AL157"/>
  <sheetViews>
    <sheetView workbookViewId="0"/>
  </sheetViews>
  <sheetFormatPr defaultColWidth="9" defaultRowHeight="14.6" x14ac:dyDescent="0.4"/>
  <cols>
    <col min="1" max="1" width="11.4609375" style="1" customWidth="1"/>
    <col min="2" max="3" width="9" style="1"/>
    <col min="4" max="4" width="18.4609375" style="1" customWidth="1"/>
    <col min="5" max="5" width="5.07421875" style="1" bestFit="1" customWidth="1"/>
    <col min="6" max="6" width="9.07421875" style="1" bestFit="1" customWidth="1"/>
    <col min="7" max="7" width="9.07421875" style="1" customWidth="1"/>
    <col min="8" max="16" width="4.07421875" style="1" customWidth="1"/>
    <col min="17" max="17" width="5.07421875" style="1" customWidth="1"/>
    <col min="18" max="18" width="6.53515625" style="1" customWidth="1"/>
    <col min="19" max="19" width="9" style="1"/>
    <col min="20" max="28" width="5" style="1" customWidth="1"/>
    <col min="29" max="29" width="7.07421875" style="1" customWidth="1"/>
    <col min="30" max="30" width="7.07421875" style="82" customWidth="1"/>
    <col min="31" max="31" width="8.84375" style="1" customWidth="1"/>
    <col min="32" max="33" width="8.84375" style="2" customWidth="1"/>
    <col min="34" max="35" width="8.84375" style="1" customWidth="1"/>
    <col min="36" max="256" width="9" style="1"/>
    <col min="257" max="257" width="11.4609375" style="1" customWidth="1"/>
    <col min="258" max="259" width="9" style="1"/>
    <col min="260" max="260" width="18.4609375" style="1" customWidth="1"/>
    <col min="261" max="261" width="5.07421875" style="1" bestFit="1" customWidth="1"/>
    <col min="262" max="262" width="9.07421875" style="1" bestFit="1" customWidth="1"/>
    <col min="263" max="263" width="9.07421875" style="1" customWidth="1"/>
    <col min="264" max="272" width="4.07421875" style="1" customWidth="1"/>
    <col min="273" max="273" width="5.07421875" style="1" customWidth="1"/>
    <col min="274" max="274" width="6.53515625" style="1" customWidth="1"/>
    <col min="275" max="275" width="9" style="1"/>
    <col min="276" max="284" width="5" style="1" customWidth="1"/>
    <col min="285" max="286" width="7.07421875" style="1" customWidth="1"/>
    <col min="287" max="291" width="8.84375" style="1" customWidth="1"/>
    <col min="292" max="512" width="9" style="1"/>
    <col min="513" max="513" width="11.4609375" style="1" customWidth="1"/>
    <col min="514" max="515" width="9" style="1"/>
    <col min="516" max="516" width="18.4609375" style="1" customWidth="1"/>
    <col min="517" max="517" width="5.07421875" style="1" bestFit="1" customWidth="1"/>
    <col min="518" max="518" width="9.07421875" style="1" bestFit="1" customWidth="1"/>
    <col min="519" max="519" width="9.07421875" style="1" customWidth="1"/>
    <col min="520" max="528" width="4.07421875" style="1" customWidth="1"/>
    <col min="529" max="529" width="5.07421875" style="1" customWidth="1"/>
    <col min="530" max="530" width="6.53515625" style="1" customWidth="1"/>
    <col min="531" max="531" width="9" style="1"/>
    <col min="532" max="540" width="5" style="1" customWidth="1"/>
    <col min="541" max="542" width="7.07421875" style="1" customWidth="1"/>
    <col min="543" max="547" width="8.84375" style="1" customWidth="1"/>
    <col min="548" max="768" width="9" style="1"/>
    <col min="769" max="769" width="11.4609375" style="1" customWidth="1"/>
    <col min="770" max="771" width="9" style="1"/>
    <col min="772" max="772" width="18.4609375" style="1" customWidth="1"/>
    <col min="773" max="773" width="5.07421875" style="1" bestFit="1" customWidth="1"/>
    <col min="774" max="774" width="9.07421875" style="1" bestFit="1" customWidth="1"/>
    <col min="775" max="775" width="9.07421875" style="1" customWidth="1"/>
    <col min="776" max="784" width="4.07421875" style="1" customWidth="1"/>
    <col min="785" max="785" width="5.07421875" style="1" customWidth="1"/>
    <col min="786" max="786" width="6.53515625" style="1" customWidth="1"/>
    <col min="787" max="787" width="9" style="1"/>
    <col min="788" max="796" width="5" style="1" customWidth="1"/>
    <col min="797" max="798" width="7.07421875" style="1" customWidth="1"/>
    <col min="799" max="803" width="8.84375" style="1" customWidth="1"/>
    <col min="804" max="1024" width="9" style="1"/>
    <col min="1025" max="1025" width="11.4609375" style="1" customWidth="1"/>
    <col min="1026" max="1027" width="9" style="1"/>
    <col min="1028" max="1028" width="18.4609375" style="1" customWidth="1"/>
    <col min="1029" max="1029" width="5.07421875" style="1" bestFit="1" customWidth="1"/>
    <col min="1030" max="1030" width="9.07421875" style="1" bestFit="1" customWidth="1"/>
    <col min="1031" max="1031" width="9.07421875" style="1" customWidth="1"/>
    <col min="1032" max="1040" width="4.07421875" style="1" customWidth="1"/>
    <col min="1041" max="1041" width="5.07421875" style="1" customWidth="1"/>
    <col min="1042" max="1042" width="6.53515625" style="1" customWidth="1"/>
    <col min="1043" max="1043" width="9" style="1"/>
    <col min="1044" max="1052" width="5" style="1" customWidth="1"/>
    <col min="1053" max="1054" width="7.07421875" style="1" customWidth="1"/>
    <col min="1055" max="1059" width="8.84375" style="1" customWidth="1"/>
    <col min="1060" max="1280" width="9" style="1"/>
    <col min="1281" max="1281" width="11.4609375" style="1" customWidth="1"/>
    <col min="1282" max="1283" width="9" style="1"/>
    <col min="1284" max="1284" width="18.4609375" style="1" customWidth="1"/>
    <col min="1285" max="1285" width="5.07421875" style="1" bestFit="1" customWidth="1"/>
    <col min="1286" max="1286" width="9.07421875" style="1" bestFit="1" customWidth="1"/>
    <col min="1287" max="1287" width="9.07421875" style="1" customWidth="1"/>
    <col min="1288" max="1296" width="4.07421875" style="1" customWidth="1"/>
    <col min="1297" max="1297" width="5.07421875" style="1" customWidth="1"/>
    <col min="1298" max="1298" width="6.53515625" style="1" customWidth="1"/>
    <col min="1299" max="1299" width="9" style="1"/>
    <col min="1300" max="1308" width="5" style="1" customWidth="1"/>
    <col min="1309" max="1310" width="7.07421875" style="1" customWidth="1"/>
    <col min="1311" max="1315" width="8.84375" style="1" customWidth="1"/>
    <col min="1316" max="1536" width="9" style="1"/>
    <col min="1537" max="1537" width="11.4609375" style="1" customWidth="1"/>
    <col min="1538" max="1539" width="9" style="1"/>
    <col min="1540" max="1540" width="18.4609375" style="1" customWidth="1"/>
    <col min="1541" max="1541" width="5.07421875" style="1" bestFit="1" customWidth="1"/>
    <col min="1542" max="1542" width="9.07421875" style="1" bestFit="1" customWidth="1"/>
    <col min="1543" max="1543" width="9.07421875" style="1" customWidth="1"/>
    <col min="1544" max="1552" width="4.07421875" style="1" customWidth="1"/>
    <col min="1553" max="1553" width="5.07421875" style="1" customWidth="1"/>
    <col min="1554" max="1554" width="6.53515625" style="1" customWidth="1"/>
    <col min="1555" max="1555" width="9" style="1"/>
    <col min="1556" max="1564" width="5" style="1" customWidth="1"/>
    <col min="1565" max="1566" width="7.07421875" style="1" customWidth="1"/>
    <col min="1567" max="1571" width="8.84375" style="1" customWidth="1"/>
    <col min="1572" max="1792" width="9" style="1"/>
    <col min="1793" max="1793" width="11.4609375" style="1" customWidth="1"/>
    <col min="1794" max="1795" width="9" style="1"/>
    <col min="1796" max="1796" width="18.4609375" style="1" customWidth="1"/>
    <col min="1797" max="1797" width="5.07421875" style="1" bestFit="1" customWidth="1"/>
    <col min="1798" max="1798" width="9.07421875" style="1" bestFit="1" customWidth="1"/>
    <col min="1799" max="1799" width="9.07421875" style="1" customWidth="1"/>
    <col min="1800" max="1808" width="4.07421875" style="1" customWidth="1"/>
    <col min="1809" max="1809" width="5.07421875" style="1" customWidth="1"/>
    <col min="1810" max="1810" width="6.53515625" style="1" customWidth="1"/>
    <col min="1811" max="1811" width="9" style="1"/>
    <col min="1812" max="1820" width="5" style="1" customWidth="1"/>
    <col min="1821" max="1822" width="7.07421875" style="1" customWidth="1"/>
    <col min="1823" max="1827" width="8.84375" style="1" customWidth="1"/>
    <col min="1828" max="2048" width="9" style="1"/>
    <col min="2049" max="2049" width="11.4609375" style="1" customWidth="1"/>
    <col min="2050" max="2051" width="9" style="1"/>
    <col min="2052" max="2052" width="18.4609375" style="1" customWidth="1"/>
    <col min="2053" max="2053" width="5.07421875" style="1" bestFit="1" customWidth="1"/>
    <col min="2054" max="2054" width="9.07421875" style="1" bestFit="1" customWidth="1"/>
    <col min="2055" max="2055" width="9.07421875" style="1" customWidth="1"/>
    <col min="2056" max="2064" width="4.07421875" style="1" customWidth="1"/>
    <col min="2065" max="2065" width="5.07421875" style="1" customWidth="1"/>
    <col min="2066" max="2066" width="6.53515625" style="1" customWidth="1"/>
    <col min="2067" max="2067" width="9" style="1"/>
    <col min="2068" max="2076" width="5" style="1" customWidth="1"/>
    <col min="2077" max="2078" width="7.07421875" style="1" customWidth="1"/>
    <col min="2079" max="2083" width="8.84375" style="1" customWidth="1"/>
    <col min="2084" max="2304" width="9" style="1"/>
    <col min="2305" max="2305" width="11.4609375" style="1" customWidth="1"/>
    <col min="2306" max="2307" width="9" style="1"/>
    <col min="2308" max="2308" width="18.4609375" style="1" customWidth="1"/>
    <col min="2309" max="2309" width="5.07421875" style="1" bestFit="1" customWidth="1"/>
    <col min="2310" max="2310" width="9.07421875" style="1" bestFit="1" customWidth="1"/>
    <col min="2311" max="2311" width="9.07421875" style="1" customWidth="1"/>
    <col min="2312" max="2320" width="4.07421875" style="1" customWidth="1"/>
    <col min="2321" max="2321" width="5.07421875" style="1" customWidth="1"/>
    <col min="2322" max="2322" width="6.53515625" style="1" customWidth="1"/>
    <col min="2323" max="2323" width="9" style="1"/>
    <col min="2324" max="2332" width="5" style="1" customWidth="1"/>
    <col min="2333" max="2334" width="7.07421875" style="1" customWidth="1"/>
    <col min="2335" max="2339" width="8.84375" style="1" customWidth="1"/>
    <col min="2340" max="2560" width="9" style="1"/>
    <col min="2561" max="2561" width="11.4609375" style="1" customWidth="1"/>
    <col min="2562" max="2563" width="9" style="1"/>
    <col min="2564" max="2564" width="18.4609375" style="1" customWidth="1"/>
    <col min="2565" max="2565" width="5.07421875" style="1" bestFit="1" customWidth="1"/>
    <col min="2566" max="2566" width="9.07421875" style="1" bestFit="1" customWidth="1"/>
    <col min="2567" max="2567" width="9.07421875" style="1" customWidth="1"/>
    <col min="2568" max="2576" width="4.07421875" style="1" customWidth="1"/>
    <col min="2577" max="2577" width="5.07421875" style="1" customWidth="1"/>
    <col min="2578" max="2578" width="6.53515625" style="1" customWidth="1"/>
    <col min="2579" max="2579" width="9" style="1"/>
    <col min="2580" max="2588" width="5" style="1" customWidth="1"/>
    <col min="2589" max="2590" width="7.07421875" style="1" customWidth="1"/>
    <col min="2591" max="2595" width="8.84375" style="1" customWidth="1"/>
    <col min="2596" max="2816" width="9" style="1"/>
    <col min="2817" max="2817" width="11.4609375" style="1" customWidth="1"/>
    <col min="2818" max="2819" width="9" style="1"/>
    <col min="2820" max="2820" width="18.4609375" style="1" customWidth="1"/>
    <col min="2821" max="2821" width="5.07421875" style="1" bestFit="1" customWidth="1"/>
    <col min="2822" max="2822" width="9.07421875" style="1" bestFit="1" customWidth="1"/>
    <col min="2823" max="2823" width="9.07421875" style="1" customWidth="1"/>
    <col min="2824" max="2832" width="4.07421875" style="1" customWidth="1"/>
    <col min="2833" max="2833" width="5.07421875" style="1" customWidth="1"/>
    <col min="2834" max="2834" width="6.53515625" style="1" customWidth="1"/>
    <col min="2835" max="2835" width="9" style="1"/>
    <col min="2836" max="2844" width="5" style="1" customWidth="1"/>
    <col min="2845" max="2846" width="7.07421875" style="1" customWidth="1"/>
    <col min="2847" max="2851" width="8.84375" style="1" customWidth="1"/>
    <col min="2852" max="3072" width="9" style="1"/>
    <col min="3073" max="3073" width="11.4609375" style="1" customWidth="1"/>
    <col min="3074" max="3075" width="9" style="1"/>
    <col min="3076" max="3076" width="18.4609375" style="1" customWidth="1"/>
    <col min="3077" max="3077" width="5.07421875" style="1" bestFit="1" customWidth="1"/>
    <col min="3078" max="3078" width="9.07421875" style="1" bestFit="1" customWidth="1"/>
    <col min="3079" max="3079" width="9.07421875" style="1" customWidth="1"/>
    <col min="3080" max="3088" width="4.07421875" style="1" customWidth="1"/>
    <col min="3089" max="3089" width="5.07421875" style="1" customWidth="1"/>
    <col min="3090" max="3090" width="6.53515625" style="1" customWidth="1"/>
    <col min="3091" max="3091" width="9" style="1"/>
    <col min="3092" max="3100" width="5" style="1" customWidth="1"/>
    <col min="3101" max="3102" width="7.07421875" style="1" customWidth="1"/>
    <col min="3103" max="3107" width="8.84375" style="1" customWidth="1"/>
    <col min="3108" max="3328" width="9" style="1"/>
    <col min="3329" max="3329" width="11.4609375" style="1" customWidth="1"/>
    <col min="3330" max="3331" width="9" style="1"/>
    <col min="3332" max="3332" width="18.4609375" style="1" customWidth="1"/>
    <col min="3333" max="3333" width="5.07421875" style="1" bestFit="1" customWidth="1"/>
    <col min="3334" max="3334" width="9.07421875" style="1" bestFit="1" customWidth="1"/>
    <col min="3335" max="3335" width="9.07421875" style="1" customWidth="1"/>
    <col min="3336" max="3344" width="4.07421875" style="1" customWidth="1"/>
    <col min="3345" max="3345" width="5.07421875" style="1" customWidth="1"/>
    <col min="3346" max="3346" width="6.53515625" style="1" customWidth="1"/>
    <col min="3347" max="3347" width="9" style="1"/>
    <col min="3348" max="3356" width="5" style="1" customWidth="1"/>
    <col min="3357" max="3358" width="7.07421875" style="1" customWidth="1"/>
    <col min="3359" max="3363" width="8.84375" style="1" customWidth="1"/>
    <col min="3364" max="3584" width="9" style="1"/>
    <col min="3585" max="3585" width="11.4609375" style="1" customWidth="1"/>
    <col min="3586" max="3587" width="9" style="1"/>
    <col min="3588" max="3588" width="18.4609375" style="1" customWidth="1"/>
    <col min="3589" max="3589" width="5.07421875" style="1" bestFit="1" customWidth="1"/>
    <col min="3590" max="3590" width="9.07421875" style="1" bestFit="1" customWidth="1"/>
    <col min="3591" max="3591" width="9.07421875" style="1" customWidth="1"/>
    <col min="3592" max="3600" width="4.07421875" style="1" customWidth="1"/>
    <col min="3601" max="3601" width="5.07421875" style="1" customWidth="1"/>
    <col min="3602" max="3602" width="6.53515625" style="1" customWidth="1"/>
    <col min="3603" max="3603" width="9" style="1"/>
    <col min="3604" max="3612" width="5" style="1" customWidth="1"/>
    <col min="3613" max="3614" width="7.07421875" style="1" customWidth="1"/>
    <col min="3615" max="3619" width="8.84375" style="1" customWidth="1"/>
    <col min="3620" max="3840" width="9" style="1"/>
    <col min="3841" max="3841" width="11.4609375" style="1" customWidth="1"/>
    <col min="3842" max="3843" width="9" style="1"/>
    <col min="3844" max="3844" width="18.4609375" style="1" customWidth="1"/>
    <col min="3845" max="3845" width="5.07421875" style="1" bestFit="1" customWidth="1"/>
    <col min="3846" max="3846" width="9.07421875" style="1" bestFit="1" customWidth="1"/>
    <col min="3847" max="3847" width="9.07421875" style="1" customWidth="1"/>
    <col min="3848" max="3856" width="4.07421875" style="1" customWidth="1"/>
    <col min="3857" max="3857" width="5.07421875" style="1" customWidth="1"/>
    <col min="3858" max="3858" width="6.53515625" style="1" customWidth="1"/>
    <col min="3859" max="3859" width="9" style="1"/>
    <col min="3860" max="3868" width="5" style="1" customWidth="1"/>
    <col min="3869" max="3870" width="7.07421875" style="1" customWidth="1"/>
    <col min="3871" max="3875" width="8.84375" style="1" customWidth="1"/>
    <col min="3876" max="4096" width="9" style="1"/>
    <col min="4097" max="4097" width="11.4609375" style="1" customWidth="1"/>
    <col min="4098" max="4099" width="9" style="1"/>
    <col min="4100" max="4100" width="18.4609375" style="1" customWidth="1"/>
    <col min="4101" max="4101" width="5.07421875" style="1" bestFit="1" customWidth="1"/>
    <col min="4102" max="4102" width="9.07421875" style="1" bestFit="1" customWidth="1"/>
    <col min="4103" max="4103" width="9.07421875" style="1" customWidth="1"/>
    <col min="4104" max="4112" width="4.07421875" style="1" customWidth="1"/>
    <col min="4113" max="4113" width="5.07421875" style="1" customWidth="1"/>
    <col min="4114" max="4114" width="6.53515625" style="1" customWidth="1"/>
    <col min="4115" max="4115" width="9" style="1"/>
    <col min="4116" max="4124" width="5" style="1" customWidth="1"/>
    <col min="4125" max="4126" width="7.07421875" style="1" customWidth="1"/>
    <col min="4127" max="4131" width="8.84375" style="1" customWidth="1"/>
    <col min="4132" max="4352" width="9" style="1"/>
    <col min="4353" max="4353" width="11.4609375" style="1" customWidth="1"/>
    <col min="4354" max="4355" width="9" style="1"/>
    <col min="4356" max="4356" width="18.4609375" style="1" customWidth="1"/>
    <col min="4357" max="4357" width="5.07421875" style="1" bestFit="1" customWidth="1"/>
    <col min="4358" max="4358" width="9.07421875" style="1" bestFit="1" customWidth="1"/>
    <col min="4359" max="4359" width="9.07421875" style="1" customWidth="1"/>
    <col min="4360" max="4368" width="4.07421875" style="1" customWidth="1"/>
    <col min="4369" max="4369" width="5.07421875" style="1" customWidth="1"/>
    <col min="4370" max="4370" width="6.53515625" style="1" customWidth="1"/>
    <col min="4371" max="4371" width="9" style="1"/>
    <col min="4372" max="4380" width="5" style="1" customWidth="1"/>
    <col min="4381" max="4382" width="7.07421875" style="1" customWidth="1"/>
    <col min="4383" max="4387" width="8.84375" style="1" customWidth="1"/>
    <col min="4388" max="4608" width="9" style="1"/>
    <col min="4609" max="4609" width="11.4609375" style="1" customWidth="1"/>
    <col min="4610" max="4611" width="9" style="1"/>
    <col min="4612" max="4612" width="18.4609375" style="1" customWidth="1"/>
    <col min="4613" max="4613" width="5.07421875" style="1" bestFit="1" customWidth="1"/>
    <col min="4614" max="4614" width="9.07421875" style="1" bestFit="1" customWidth="1"/>
    <col min="4615" max="4615" width="9.07421875" style="1" customWidth="1"/>
    <col min="4616" max="4624" width="4.07421875" style="1" customWidth="1"/>
    <col min="4625" max="4625" width="5.07421875" style="1" customWidth="1"/>
    <col min="4626" max="4626" width="6.53515625" style="1" customWidth="1"/>
    <col min="4627" max="4627" width="9" style="1"/>
    <col min="4628" max="4636" width="5" style="1" customWidth="1"/>
    <col min="4637" max="4638" width="7.07421875" style="1" customWidth="1"/>
    <col min="4639" max="4643" width="8.84375" style="1" customWidth="1"/>
    <col min="4644" max="4864" width="9" style="1"/>
    <col min="4865" max="4865" width="11.4609375" style="1" customWidth="1"/>
    <col min="4866" max="4867" width="9" style="1"/>
    <col min="4868" max="4868" width="18.4609375" style="1" customWidth="1"/>
    <col min="4869" max="4869" width="5.07421875" style="1" bestFit="1" customWidth="1"/>
    <col min="4870" max="4870" width="9.07421875" style="1" bestFit="1" customWidth="1"/>
    <col min="4871" max="4871" width="9.07421875" style="1" customWidth="1"/>
    <col min="4872" max="4880" width="4.07421875" style="1" customWidth="1"/>
    <col min="4881" max="4881" width="5.07421875" style="1" customWidth="1"/>
    <col min="4882" max="4882" width="6.53515625" style="1" customWidth="1"/>
    <col min="4883" max="4883" width="9" style="1"/>
    <col min="4884" max="4892" width="5" style="1" customWidth="1"/>
    <col min="4893" max="4894" width="7.07421875" style="1" customWidth="1"/>
    <col min="4895" max="4899" width="8.84375" style="1" customWidth="1"/>
    <col min="4900" max="5120" width="9" style="1"/>
    <col min="5121" max="5121" width="11.4609375" style="1" customWidth="1"/>
    <col min="5122" max="5123" width="9" style="1"/>
    <col min="5124" max="5124" width="18.4609375" style="1" customWidth="1"/>
    <col min="5125" max="5125" width="5.07421875" style="1" bestFit="1" customWidth="1"/>
    <col min="5126" max="5126" width="9.07421875" style="1" bestFit="1" customWidth="1"/>
    <col min="5127" max="5127" width="9.07421875" style="1" customWidth="1"/>
    <col min="5128" max="5136" width="4.07421875" style="1" customWidth="1"/>
    <col min="5137" max="5137" width="5.07421875" style="1" customWidth="1"/>
    <col min="5138" max="5138" width="6.53515625" style="1" customWidth="1"/>
    <col min="5139" max="5139" width="9" style="1"/>
    <col min="5140" max="5148" width="5" style="1" customWidth="1"/>
    <col min="5149" max="5150" width="7.07421875" style="1" customWidth="1"/>
    <col min="5151" max="5155" width="8.84375" style="1" customWidth="1"/>
    <col min="5156" max="5376" width="9" style="1"/>
    <col min="5377" max="5377" width="11.4609375" style="1" customWidth="1"/>
    <col min="5378" max="5379" width="9" style="1"/>
    <col min="5380" max="5380" width="18.4609375" style="1" customWidth="1"/>
    <col min="5381" max="5381" width="5.07421875" style="1" bestFit="1" customWidth="1"/>
    <col min="5382" max="5382" width="9.07421875" style="1" bestFit="1" customWidth="1"/>
    <col min="5383" max="5383" width="9.07421875" style="1" customWidth="1"/>
    <col min="5384" max="5392" width="4.07421875" style="1" customWidth="1"/>
    <col min="5393" max="5393" width="5.07421875" style="1" customWidth="1"/>
    <col min="5394" max="5394" width="6.53515625" style="1" customWidth="1"/>
    <col min="5395" max="5395" width="9" style="1"/>
    <col min="5396" max="5404" width="5" style="1" customWidth="1"/>
    <col min="5405" max="5406" width="7.07421875" style="1" customWidth="1"/>
    <col min="5407" max="5411" width="8.84375" style="1" customWidth="1"/>
    <col min="5412" max="5632" width="9" style="1"/>
    <col min="5633" max="5633" width="11.4609375" style="1" customWidth="1"/>
    <col min="5634" max="5635" width="9" style="1"/>
    <col min="5636" max="5636" width="18.4609375" style="1" customWidth="1"/>
    <col min="5637" max="5637" width="5.07421875" style="1" bestFit="1" customWidth="1"/>
    <col min="5638" max="5638" width="9.07421875" style="1" bestFit="1" customWidth="1"/>
    <col min="5639" max="5639" width="9.07421875" style="1" customWidth="1"/>
    <col min="5640" max="5648" width="4.07421875" style="1" customWidth="1"/>
    <col min="5649" max="5649" width="5.07421875" style="1" customWidth="1"/>
    <col min="5650" max="5650" width="6.53515625" style="1" customWidth="1"/>
    <col min="5651" max="5651" width="9" style="1"/>
    <col min="5652" max="5660" width="5" style="1" customWidth="1"/>
    <col min="5661" max="5662" width="7.07421875" style="1" customWidth="1"/>
    <col min="5663" max="5667" width="8.84375" style="1" customWidth="1"/>
    <col min="5668" max="5888" width="9" style="1"/>
    <col min="5889" max="5889" width="11.4609375" style="1" customWidth="1"/>
    <col min="5890" max="5891" width="9" style="1"/>
    <col min="5892" max="5892" width="18.4609375" style="1" customWidth="1"/>
    <col min="5893" max="5893" width="5.07421875" style="1" bestFit="1" customWidth="1"/>
    <col min="5894" max="5894" width="9.07421875" style="1" bestFit="1" customWidth="1"/>
    <col min="5895" max="5895" width="9.07421875" style="1" customWidth="1"/>
    <col min="5896" max="5904" width="4.07421875" style="1" customWidth="1"/>
    <col min="5905" max="5905" width="5.07421875" style="1" customWidth="1"/>
    <col min="5906" max="5906" width="6.53515625" style="1" customWidth="1"/>
    <col min="5907" max="5907" width="9" style="1"/>
    <col min="5908" max="5916" width="5" style="1" customWidth="1"/>
    <col min="5917" max="5918" width="7.07421875" style="1" customWidth="1"/>
    <col min="5919" max="5923" width="8.84375" style="1" customWidth="1"/>
    <col min="5924" max="6144" width="9" style="1"/>
    <col min="6145" max="6145" width="11.4609375" style="1" customWidth="1"/>
    <col min="6146" max="6147" width="9" style="1"/>
    <col min="6148" max="6148" width="18.4609375" style="1" customWidth="1"/>
    <col min="6149" max="6149" width="5.07421875" style="1" bestFit="1" customWidth="1"/>
    <col min="6150" max="6150" width="9.07421875" style="1" bestFit="1" customWidth="1"/>
    <col min="6151" max="6151" width="9.07421875" style="1" customWidth="1"/>
    <col min="6152" max="6160" width="4.07421875" style="1" customWidth="1"/>
    <col min="6161" max="6161" width="5.07421875" style="1" customWidth="1"/>
    <col min="6162" max="6162" width="6.53515625" style="1" customWidth="1"/>
    <col min="6163" max="6163" width="9" style="1"/>
    <col min="6164" max="6172" width="5" style="1" customWidth="1"/>
    <col min="6173" max="6174" width="7.07421875" style="1" customWidth="1"/>
    <col min="6175" max="6179" width="8.84375" style="1" customWidth="1"/>
    <col min="6180" max="6400" width="9" style="1"/>
    <col min="6401" max="6401" width="11.4609375" style="1" customWidth="1"/>
    <col min="6402" max="6403" width="9" style="1"/>
    <col min="6404" max="6404" width="18.4609375" style="1" customWidth="1"/>
    <col min="6405" max="6405" width="5.07421875" style="1" bestFit="1" customWidth="1"/>
    <col min="6406" max="6406" width="9.07421875" style="1" bestFit="1" customWidth="1"/>
    <col min="6407" max="6407" width="9.07421875" style="1" customWidth="1"/>
    <col min="6408" max="6416" width="4.07421875" style="1" customWidth="1"/>
    <col min="6417" max="6417" width="5.07421875" style="1" customWidth="1"/>
    <col min="6418" max="6418" width="6.53515625" style="1" customWidth="1"/>
    <col min="6419" max="6419" width="9" style="1"/>
    <col min="6420" max="6428" width="5" style="1" customWidth="1"/>
    <col min="6429" max="6430" width="7.07421875" style="1" customWidth="1"/>
    <col min="6431" max="6435" width="8.84375" style="1" customWidth="1"/>
    <col min="6436" max="6656" width="9" style="1"/>
    <col min="6657" max="6657" width="11.4609375" style="1" customWidth="1"/>
    <col min="6658" max="6659" width="9" style="1"/>
    <col min="6660" max="6660" width="18.4609375" style="1" customWidth="1"/>
    <col min="6661" max="6661" width="5.07421875" style="1" bestFit="1" customWidth="1"/>
    <col min="6662" max="6662" width="9.07421875" style="1" bestFit="1" customWidth="1"/>
    <col min="6663" max="6663" width="9.07421875" style="1" customWidth="1"/>
    <col min="6664" max="6672" width="4.07421875" style="1" customWidth="1"/>
    <col min="6673" max="6673" width="5.07421875" style="1" customWidth="1"/>
    <col min="6674" max="6674" width="6.53515625" style="1" customWidth="1"/>
    <col min="6675" max="6675" width="9" style="1"/>
    <col min="6676" max="6684" width="5" style="1" customWidth="1"/>
    <col min="6685" max="6686" width="7.07421875" style="1" customWidth="1"/>
    <col min="6687" max="6691" width="8.84375" style="1" customWidth="1"/>
    <col min="6692" max="6912" width="9" style="1"/>
    <col min="6913" max="6913" width="11.4609375" style="1" customWidth="1"/>
    <col min="6914" max="6915" width="9" style="1"/>
    <col min="6916" max="6916" width="18.4609375" style="1" customWidth="1"/>
    <col min="6917" max="6917" width="5.07421875" style="1" bestFit="1" customWidth="1"/>
    <col min="6918" max="6918" width="9.07421875" style="1" bestFit="1" customWidth="1"/>
    <col min="6919" max="6919" width="9.07421875" style="1" customWidth="1"/>
    <col min="6920" max="6928" width="4.07421875" style="1" customWidth="1"/>
    <col min="6929" max="6929" width="5.07421875" style="1" customWidth="1"/>
    <col min="6930" max="6930" width="6.53515625" style="1" customWidth="1"/>
    <col min="6931" max="6931" width="9" style="1"/>
    <col min="6932" max="6940" width="5" style="1" customWidth="1"/>
    <col min="6941" max="6942" width="7.07421875" style="1" customWidth="1"/>
    <col min="6943" max="6947" width="8.84375" style="1" customWidth="1"/>
    <col min="6948" max="7168" width="9" style="1"/>
    <col min="7169" max="7169" width="11.4609375" style="1" customWidth="1"/>
    <col min="7170" max="7171" width="9" style="1"/>
    <col min="7172" max="7172" width="18.4609375" style="1" customWidth="1"/>
    <col min="7173" max="7173" width="5.07421875" style="1" bestFit="1" customWidth="1"/>
    <col min="7174" max="7174" width="9.07421875" style="1" bestFit="1" customWidth="1"/>
    <col min="7175" max="7175" width="9.07421875" style="1" customWidth="1"/>
    <col min="7176" max="7184" width="4.07421875" style="1" customWidth="1"/>
    <col min="7185" max="7185" width="5.07421875" style="1" customWidth="1"/>
    <col min="7186" max="7186" width="6.53515625" style="1" customWidth="1"/>
    <col min="7187" max="7187" width="9" style="1"/>
    <col min="7188" max="7196" width="5" style="1" customWidth="1"/>
    <col min="7197" max="7198" width="7.07421875" style="1" customWidth="1"/>
    <col min="7199" max="7203" width="8.84375" style="1" customWidth="1"/>
    <col min="7204" max="7424" width="9" style="1"/>
    <col min="7425" max="7425" width="11.4609375" style="1" customWidth="1"/>
    <col min="7426" max="7427" width="9" style="1"/>
    <col min="7428" max="7428" width="18.4609375" style="1" customWidth="1"/>
    <col min="7429" max="7429" width="5.07421875" style="1" bestFit="1" customWidth="1"/>
    <col min="7430" max="7430" width="9.07421875" style="1" bestFit="1" customWidth="1"/>
    <col min="7431" max="7431" width="9.07421875" style="1" customWidth="1"/>
    <col min="7432" max="7440" width="4.07421875" style="1" customWidth="1"/>
    <col min="7441" max="7441" width="5.07421875" style="1" customWidth="1"/>
    <col min="7442" max="7442" width="6.53515625" style="1" customWidth="1"/>
    <col min="7443" max="7443" width="9" style="1"/>
    <col min="7444" max="7452" width="5" style="1" customWidth="1"/>
    <col min="7453" max="7454" width="7.07421875" style="1" customWidth="1"/>
    <col min="7455" max="7459" width="8.84375" style="1" customWidth="1"/>
    <col min="7460" max="7680" width="9" style="1"/>
    <col min="7681" max="7681" width="11.4609375" style="1" customWidth="1"/>
    <col min="7682" max="7683" width="9" style="1"/>
    <col min="7684" max="7684" width="18.4609375" style="1" customWidth="1"/>
    <col min="7685" max="7685" width="5.07421875" style="1" bestFit="1" customWidth="1"/>
    <col min="7686" max="7686" width="9.07421875" style="1" bestFit="1" customWidth="1"/>
    <col min="7687" max="7687" width="9.07421875" style="1" customWidth="1"/>
    <col min="7688" max="7696" width="4.07421875" style="1" customWidth="1"/>
    <col min="7697" max="7697" width="5.07421875" style="1" customWidth="1"/>
    <col min="7698" max="7698" width="6.53515625" style="1" customWidth="1"/>
    <col min="7699" max="7699" width="9" style="1"/>
    <col min="7700" max="7708" width="5" style="1" customWidth="1"/>
    <col min="7709" max="7710" width="7.07421875" style="1" customWidth="1"/>
    <col min="7711" max="7715" width="8.84375" style="1" customWidth="1"/>
    <col min="7716" max="7936" width="9" style="1"/>
    <col min="7937" max="7937" width="11.4609375" style="1" customWidth="1"/>
    <col min="7938" max="7939" width="9" style="1"/>
    <col min="7940" max="7940" width="18.4609375" style="1" customWidth="1"/>
    <col min="7941" max="7941" width="5.07421875" style="1" bestFit="1" customWidth="1"/>
    <col min="7942" max="7942" width="9.07421875" style="1" bestFit="1" customWidth="1"/>
    <col min="7943" max="7943" width="9.07421875" style="1" customWidth="1"/>
    <col min="7944" max="7952" width="4.07421875" style="1" customWidth="1"/>
    <col min="7953" max="7953" width="5.07421875" style="1" customWidth="1"/>
    <col min="7954" max="7954" width="6.53515625" style="1" customWidth="1"/>
    <col min="7955" max="7955" width="9" style="1"/>
    <col min="7956" max="7964" width="5" style="1" customWidth="1"/>
    <col min="7965" max="7966" width="7.07421875" style="1" customWidth="1"/>
    <col min="7967" max="7971" width="8.84375" style="1" customWidth="1"/>
    <col min="7972" max="8192" width="9" style="1"/>
    <col min="8193" max="8193" width="11.4609375" style="1" customWidth="1"/>
    <col min="8194" max="8195" width="9" style="1"/>
    <col min="8196" max="8196" width="18.4609375" style="1" customWidth="1"/>
    <col min="8197" max="8197" width="5.07421875" style="1" bestFit="1" customWidth="1"/>
    <col min="8198" max="8198" width="9.07421875" style="1" bestFit="1" customWidth="1"/>
    <col min="8199" max="8199" width="9.07421875" style="1" customWidth="1"/>
    <col min="8200" max="8208" width="4.07421875" style="1" customWidth="1"/>
    <col min="8209" max="8209" width="5.07421875" style="1" customWidth="1"/>
    <col min="8210" max="8210" width="6.53515625" style="1" customWidth="1"/>
    <col min="8211" max="8211" width="9" style="1"/>
    <col min="8212" max="8220" width="5" style="1" customWidth="1"/>
    <col min="8221" max="8222" width="7.07421875" style="1" customWidth="1"/>
    <col min="8223" max="8227" width="8.84375" style="1" customWidth="1"/>
    <col min="8228" max="8448" width="9" style="1"/>
    <col min="8449" max="8449" width="11.4609375" style="1" customWidth="1"/>
    <col min="8450" max="8451" width="9" style="1"/>
    <col min="8452" max="8452" width="18.4609375" style="1" customWidth="1"/>
    <col min="8453" max="8453" width="5.07421875" style="1" bestFit="1" customWidth="1"/>
    <col min="8454" max="8454" width="9.07421875" style="1" bestFit="1" customWidth="1"/>
    <col min="8455" max="8455" width="9.07421875" style="1" customWidth="1"/>
    <col min="8456" max="8464" width="4.07421875" style="1" customWidth="1"/>
    <col min="8465" max="8465" width="5.07421875" style="1" customWidth="1"/>
    <col min="8466" max="8466" width="6.53515625" style="1" customWidth="1"/>
    <col min="8467" max="8467" width="9" style="1"/>
    <col min="8468" max="8476" width="5" style="1" customWidth="1"/>
    <col min="8477" max="8478" width="7.07421875" style="1" customWidth="1"/>
    <col min="8479" max="8483" width="8.84375" style="1" customWidth="1"/>
    <col min="8484" max="8704" width="9" style="1"/>
    <col min="8705" max="8705" width="11.4609375" style="1" customWidth="1"/>
    <col min="8706" max="8707" width="9" style="1"/>
    <col min="8708" max="8708" width="18.4609375" style="1" customWidth="1"/>
    <col min="8709" max="8709" width="5.07421875" style="1" bestFit="1" customWidth="1"/>
    <col min="8710" max="8710" width="9.07421875" style="1" bestFit="1" customWidth="1"/>
    <col min="8711" max="8711" width="9.07421875" style="1" customWidth="1"/>
    <col min="8712" max="8720" width="4.07421875" style="1" customWidth="1"/>
    <col min="8721" max="8721" width="5.07421875" style="1" customWidth="1"/>
    <col min="8722" max="8722" width="6.53515625" style="1" customWidth="1"/>
    <col min="8723" max="8723" width="9" style="1"/>
    <col min="8724" max="8732" width="5" style="1" customWidth="1"/>
    <col min="8733" max="8734" width="7.07421875" style="1" customWidth="1"/>
    <col min="8735" max="8739" width="8.84375" style="1" customWidth="1"/>
    <col min="8740" max="8960" width="9" style="1"/>
    <col min="8961" max="8961" width="11.4609375" style="1" customWidth="1"/>
    <col min="8962" max="8963" width="9" style="1"/>
    <col min="8964" max="8964" width="18.4609375" style="1" customWidth="1"/>
    <col min="8965" max="8965" width="5.07421875" style="1" bestFit="1" customWidth="1"/>
    <col min="8966" max="8966" width="9.07421875" style="1" bestFit="1" customWidth="1"/>
    <col min="8967" max="8967" width="9.07421875" style="1" customWidth="1"/>
    <col min="8968" max="8976" width="4.07421875" style="1" customWidth="1"/>
    <col min="8977" max="8977" width="5.07421875" style="1" customWidth="1"/>
    <col min="8978" max="8978" width="6.53515625" style="1" customWidth="1"/>
    <col min="8979" max="8979" width="9" style="1"/>
    <col min="8980" max="8988" width="5" style="1" customWidth="1"/>
    <col min="8989" max="8990" width="7.07421875" style="1" customWidth="1"/>
    <col min="8991" max="8995" width="8.84375" style="1" customWidth="1"/>
    <col min="8996" max="9216" width="9" style="1"/>
    <col min="9217" max="9217" width="11.4609375" style="1" customWidth="1"/>
    <col min="9218" max="9219" width="9" style="1"/>
    <col min="9220" max="9220" width="18.4609375" style="1" customWidth="1"/>
    <col min="9221" max="9221" width="5.07421875" style="1" bestFit="1" customWidth="1"/>
    <col min="9222" max="9222" width="9.07421875" style="1" bestFit="1" customWidth="1"/>
    <col min="9223" max="9223" width="9.07421875" style="1" customWidth="1"/>
    <col min="9224" max="9232" width="4.07421875" style="1" customWidth="1"/>
    <col min="9233" max="9233" width="5.07421875" style="1" customWidth="1"/>
    <col min="9234" max="9234" width="6.53515625" style="1" customWidth="1"/>
    <col min="9235" max="9235" width="9" style="1"/>
    <col min="9236" max="9244" width="5" style="1" customWidth="1"/>
    <col min="9245" max="9246" width="7.07421875" style="1" customWidth="1"/>
    <col min="9247" max="9251" width="8.84375" style="1" customWidth="1"/>
    <col min="9252" max="9472" width="9" style="1"/>
    <col min="9473" max="9473" width="11.4609375" style="1" customWidth="1"/>
    <col min="9474" max="9475" width="9" style="1"/>
    <col min="9476" max="9476" width="18.4609375" style="1" customWidth="1"/>
    <col min="9477" max="9477" width="5.07421875" style="1" bestFit="1" customWidth="1"/>
    <col min="9478" max="9478" width="9.07421875" style="1" bestFit="1" customWidth="1"/>
    <col min="9479" max="9479" width="9.07421875" style="1" customWidth="1"/>
    <col min="9480" max="9488" width="4.07421875" style="1" customWidth="1"/>
    <col min="9489" max="9489" width="5.07421875" style="1" customWidth="1"/>
    <col min="9490" max="9490" width="6.53515625" style="1" customWidth="1"/>
    <col min="9491" max="9491" width="9" style="1"/>
    <col min="9492" max="9500" width="5" style="1" customWidth="1"/>
    <col min="9501" max="9502" width="7.07421875" style="1" customWidth="1"/>
    <col min="9503" max="9507" width="8.84375" style="1" customWidth="1"/>
    <col min="9508" max="9728" width="9" style="1"/>
    <col min="9729" max="9729" width="11.4609375" style="1" customWidth="1"/>
    <col min="9730" max="9731" width="9" style="1"/>
    <col min="9732" max="9732" width="18.4609375" style="1" customWidth="1"/>
    <col min="9733" max="9733" width="5.07421875" style="1" bestFit="1" customWidth="1"/>
    <col min="9734" max="9734" width="9.07421875" style="1" bestFit="1" customWidth="1"/>
    <col min="9735" max="9735" width="9.07421875" style="1" customWidth="1"/>
    <col min="9736" max="9744" width="4.07421875" style="1" customWidth="1"/>
    <col min="9745" max="9745" width="5.07421875" style="1" customWidth="1"/>
    <col min="9746" max="9746" width="6.53515625" style="1" customWidth="1"/>
    <col min="9747" max="9747" width="9" style="1"/>
    <col min="9748" max="9756" width="5" style="1" customWidth="1"/>
    <col min="9757" max="9758" width="7.07421875" style="1" customWidth="1"/>
    <col min="9759" max="9763" width="8.84375" style="1" customWidth="1"/>
    <col min="9764" max="9984" width="9" style="1"/>
    <col min="9985" max="9985" width="11.4609375" style="1" customWidth="1"/>
    <col min="9986" max="9987" width="9" style="1"/>
    <col min="9988" max="9988" width="18.4609375" style="1" customWidth="1"/>
    <col min="9989" max="9989" width="5.07421875" style="1" bestFit="1" customWidth="1"/>
    <col min="9990" max="9990" width="9.07421875" style="1" bestFit="1" customWidth="1"/>
    <col min="9991" max="9991" width="9.07421875" style="1" customWidth="1"/>
    <col min="9992" max="10000" width="4.07421875" style="1" customWidth="1"/>
    <col min="10001" max="10001" width="5.07421875" style="1" customWidth="1"/>
    <col min="10002" max="10002" width="6.53515625" style="1" customWidth="1"/>
    <col min="10003" max="10003" width="9" style="1"/>
    <col min="10004" max="10012" width="5" style="1" customWidth="1"/>
    <col min="10013" max="10014" width="7.07421875" style="1" customWidth="1"/>
    <col min="10015" max="10019" width="8.84375" style="1" customWidth="1"/>
    <col min="10020" max="10240" width="9" style="1"/>
    <col min="10241" max="10241" width="11.4609375" style="1" customWidth="1"/>
    <col min="10242" max="10243" width="9" style="1"/>
    <col min="10244" max="10244" width="18.4609375" style="1" customWidth="1"/>
    <col min="10245" max="10245" width="5.07421875" style="1" bestFit="1" customWidth="1"/>
    <col min="10246" max="10246" width="9.07421875" style="1" bestFit="1" customWidth="1"/>
    <col min="10247" max="10247" width="9.07421875" style="1" customWidth="1"/>
    <col min="10248" max="10256" width="4.07421875" style="1" customWidth="1"/>
    <col min="10257" max="10257" width="5.07421875" style="1" customWidth="1"/>
    <col min="10258" max="10258" width="6.53515625" style="1" customWidth="1"/>
    <col min="10259" max="10259" width="9" style="1"/>
    <col min="10260" max="10268" width="5" style="1" customWidth="1"/>
    <col min="10269" max="10270" width="7.07421875" style="1" customWidth="1"/>
    <col min="10271" max="10275" width="8.84375" style="1" customWidth="1"/>
    <col min="10276" max="10496" width="9" style="1"/>
    <col min="10497" max="10497" width="11.4609375" style="1" customWidth="1"/>
    <col min="10498" max="10499" width="9" style="1"/>
    <col min="10500" max="10500" width="18.4609375" style="1" customWidth="1"/>
    <col min="10501" max="10501" width="5.07421875" style="1" bestFit="1" customWidth="1"/>
    <col min="10502" max="10502" width="9.07421875" style="1" bestFit="1" customWidth="1"/>
    <col min="10503" max="10503" width="9.07421875" style="1" customWidth="1"/>
    <col min="10504" max="10512" width="4.07421875" style="1" customWidth="1"/>
    <col min="10513" max="10513" width="5.07421875" style="1" customWidth="1"/>
    <col min="10514" max="10514" width="6.53515625" style="1" customWidth="1"/>
    <col min="10515" max="10515" width="9" style="1"/>
    <col min="10516" max="10524" width="5" style="1" customWidth="1"/>
    <col min="10525" max="10526" width="7.07421875" style="1" customWidth="1"/>
    <col min="10527" max="10531" width="8.84375" style="1" customWidth="1"/>
    <col min="10532" max="10752" width="9" style="1"/>
    <col min="10753" max="10753" width="11.4609375" style="1" customWidth="1"/>
    <col min="10754" max="10755" width="9" style="1"/>
    <col min="10756" max="10756" width="18.4609375" style="1" customWidth="1"/>
    <col min="10757" max="10757" width="5.07421875" style="1" bestFit="1" customWidth="1"/>
    <col min="10758" max="10758" width="9.07421875" style="1" bestFit="1" customWidth="1"/>
    <col min="10759" max="10759" width="9.07421875" style="1" customWidth="1"/>
    <col min="10760" max="10768" width="4.07421875" style="1" customWidth="1"/>
    <col min="10769" max="10769" width="5.07421875" style="1" customWidth="1"/>
    <col min="10770" max="10770" width="6.53515625" style="1" customWidth="1"/>
    <col min="10771" max="10771" width="9" style="1"/>
    <col min="10772" max="10780" width="5" style="1" customWidth="1"/>
    <col min="10781" max="10782" width="7.07421875" style="1" customWidth="1"/>
    <col min="10783" max="10787" width="8.84375" style="1" customWidth="1"/>
    <col min="10788" max="11008" width="9" style="1"/>
    <col min="11009" max="11009" width="11.4609375" style="1" customWidth="1"/>
    <col min="11010" max="11011" width="9" style="1"/>
    <col min="11012" max="11012" width="18.4609375" style="1" customWidth="1"/>
    <col min="11013" max="11013" width="5.07421875" style="1" bestFit="1" customWidth="1"/>
    <col min="11014" max="11014" width="9.07421875" style="1" bestFit="1" customWidth="1"/>
    <col min="11015" max="11015" width="9.07421875" style="1" customWidth="1"/>
    <col min="11016" max="11024" width="4.07421875" style="1" customWidth="1"/>
    <col min="11025" max="11025" width="5.07421875" style="1" customWidth="1"/>
    <col min="11026" max="11026" width="6.53515625" style="1" customWidth="1"/>
    <col min="11027" max="11027" width="9" style="1"/>
    <col min="11028" max="11036" width="5" style="1" customWidth="1"/>
    <col min="11037" max="11038" width="7.07421875" style="1" customWidth="1"/>
    <col min="11039" max="11043" width="8.84375" style="1" customWidth="1"/>
    <col min="11044" max="11264" width="9" style="1"/>
    <col min="11265" max="11265" width="11.4609375" style="1" customWidth="1"/>
    <col min="11266" max="11267" width="9" style="1"/>
    <col min="11268" max="11268" width="18.4609375" style="1" customWidth="1"/>
    <col min="11269" max="11269" width="5.07421875" style="1" bestFit="1" customWidth="1"/>
    <col min="11270" max="11270" width="9.07421875" style="1" bestFit="1" customWidth="1"/>
    <col min="11271" max="11271" width="9.07421875" style="1" customWidth="1"/>
    <col min="11272" max="11280" width="4.07421875" style="1" customWidth="1"/>
    <col min="11281" max="11281" width="5.07421875" style="1" customWidth="1"/>
    <col min="11282" max="11282" width="6.53515625" style="1" customWidth="1"/>
    <col min="11283" max="11283" width="9" style="1"/>
    <col min="11284" max="11292" width="5" style="1" customWidth="1"/>
    <col min="11293" max="11294" width="7.07421875" style="1" customWidth="1"/>
    <col min="11295" max="11299" width="8.84375" style="1" customWidth="1"/>
    <col min="11300" max="11520" width="9" style="1"/>
    <col min="11521" max="11521" width="11.4609375" style="1" customWidth="1"/>
    <col min="11522" max="11523" width="9" style="1"/>
    <col min="11524" max="11524" width="18.4609375" style="1" customWidth="1"/>
    <col min="11525" max="11525" width="5.07421875" style="1" bestFit="1" customWidth="1"/>
    <col min="11526" max="11526" width="9.07421875" style="1" bestFit="1" customWidth="1"/>
    <col min="11527" max="11527" width="9.07421875" style="1" customWidth="1"/>
    <col min="11528" max="11536" width="4.07421875" style="1" customWidth="1"/>
    <col min="11537" max="11537" width="5.07421875" style="1" customWidth="1"/>
    <col min="11538" max="11538" width="6.53515625" style="1" customWidth="1"/>
    <col min="11539" max="11539" width="9" style="1"/>
    <col min="11540" max="11548" width="5" style="1" customWidth="1"/>
    <col min="11549" max="11550" width="7.07421875" style="1" customWidth="1"/>
    <col min="11551" max="11555" width="8.84375" style="1" customWidth="1"/>
    <col min="11556" max="11776" width="9" style="1"/>
    <col min="11777" max="11777" width="11.4609375" style="1" customWidth="1"/>
    <col min="11778" max="11779" width="9" style="1"/>
    <col min="11780" max="11780" width="18.4609375" style="1" customWidth="1"/>
    <col min="11781" max="11781" width="5.07421875" style="1" bestFit="1" customWidth="1"/>
    <col min="11782" max="11782" width="9.07421875" style="1" bestFit="1" customWidth="1"/>
    <col min="11783" max="11783" width="9.07421875" style="1" customWidth="1"/>
    <col min="11784" max="11792" width="4.07421875" style="1" customWidth="1"/>
    <col min="11793" max="11793" width="5.07421875" style="1" customWidth="1"/>
    <col min="11794" max="11794" width="6.53515625" style="1" customWidth="1"/>
    <col min="11795" max="11795" width="9" style="1"/>
    <col min="11796" max="11804" width="5" style="1" customWidth="1"/>
    <col min="11805" max="11806" width="7.07421875" style="1" customWidth="1"/>
    <col min="11807" max="11811" width="8.84375" style="1" customWidth="1"/>
    <col min="11812" max="12032" width="9" style="1"/>
    <col min="12033" max="12033" width="11.4609375" style="1" customWidth="1"/>
    <col min="12034" max="12035" width="9" style="1"/>
    <col min="12036" max="12036" width="18.4609375" style="1" customWidth="1"/>
    <col min="12037" max="12037" width="5.07421875" style="1" bestFit="1" customWidth="1"/>
    <col min="12038" max="12038" width="9.07421875" style="1" bestFit="1" customWidth="1"/>
    <col min="12039" max="12039" width="9.07421875" style="1" customWidth="1"/>
    <col min="12040" max="12048" width="4.07421875" style="1" customWidth="1"/>
    <col min="12049" max="12049" width="5.07421875" style="1" customWidth="1"/>
    <col min="12050" max="12050" width="6.53515625" style="1" customWidth="1"/>
    <col min="12051" max="12051" width="9" style="1"/>
    <col min="12052" max="12060" width="5" style="1" customWidth="1"/>
    <col min="12061" max="12062" width="7.07421875" style="1" customWidth="1"/>
    <col min="12063" max="12067" width="8.84375" style="1" customWidth="1"/>
    <col min="12068" max="12288" width="9" style="1"/>
    <col min="12289" max="12289" width="11.4609375" style="1" customWidth="1"/>
    <col min="12290" max="12291" width="9" style="1"/>
    <col min="12292" max="12292" width="18.4609375" style="1" customWidth="1"/>
    <col min="12293" max="12293" width="5.07421875" style="1" bestFit="1" customWidth="1"/>
    <col min="12294" max="12294" width="9.07421875" style="1" bestFit="1" customWidth="1"/>
    <col min="12295" max="12295" width="9.07421875" style="1" customWidth="1"/>
    <col min="12296" max="12304" width="4.07421875" style="1" customWidth="1"/>
    <col min="12305" max="12305" width="5.07421875" style="1" customWidth="1"/>
    <col min="12306" max="12306" width="6.53515625" style="1" customWidth="1"/>
    <col min="12307" max="12307" width="9" style="1"/>
    <col min="12308" max="12316" width="5" style="1" customWidth="1"/>
    <col min="12317" max="12318" width="7.07421875" style="1" customWidth="1"/>
    <col min="12319" max="12323" width="8.84375" style="1" customWidth="1"/>
    <col min="12324" max="12544" width="9" style="1"/>
    <col min="12545" max="12545" width="11.4609375" style="1" customWidth="1"/>
    <col min="12546" max="12547" width="9" style="1"/>
    <col min="12548" max="12548" width="18.4609375" style="1" customWidth="1"/>
    <col min="12549" max="12549" width="5.07421875" style="1" bestFit="1" customWidth="1"/>
    <col min="12550" max="12550" width="9.07421875" style="1" bestFit="1" customWidth="1"/>
    <col min="12551" max="12551" width="9.07421875" style="1" customWidth="1"/>
    <col min="12552" max="12560" width="4.07421875" style="1" customWidth="1"/>
    <col min="12561" max="12561" width="5.07421875" style="1" customWidth="1"/>
    <col min="12562" max="12562" width="6.53515625" style="1" customWidth="1"/>
    <col min="12563" max="12563" width="9" style="1"/>
    <col min="12564" max="12572" width="5" style="1" customWidth="1"/>
    <col min="12573" max="12574" width="7.07421875" style="1" customWidth="1"/>
    <col min="12575" max="12579" width="8.84375" style="1" customWidth="1"/>
    <col min="12580" max="12800" width="9" style="1"/>
    <col min="12801" max="12801" width="11.4609375" style="1" customWidth="1"/>
    <col min="12802" max="12803" width="9" style="1"/>
    <col min="12804" max="12804" width="18.4609375" style="1" customWidth="1"/>
    <col min="12805" max="12805" width="5.07421875" style="1" bestFit="1" customWidth="1"/>
    <col min="12806" max="12806" width="9.07421875" style="1" bestFit="1" customWidth="1"/>
    <col min="12807" max="12807" width="9.07421875" style="1" customWidth="1"/>
    <col min="12808" max="12816" width="4.07421875" style="1" customWidth="1"/>
    <col min="12817" max="12817" width="5.07421875" style="1" customWidth="1"/>
    <col min="12818" max="12818" width="6.53515625" style="1" customWidth="1"/>
    <col min="12819" max="12819" width="9" style="1"/>
    <col min="12820" max="12828" width="5" style="1" customWidth="1"/>
    <col min="12829" max="12830" width="7.07421875" style="1" customWidth="1"/>
    <col min="12831" max="12835" width="8.84375" style="1" customWidth="1"/>
    <col min="12836" max="13056" width="9" style="1"/>
    <col min="13057" max="13057" width="11.4609375" style="1" customWidth="1"/>
    <col min="13058" max="13059" width="9" style="1"/>
    <col min="13060" max="13060" width="18.4609375" style="1" customWidth="1"/>
    <col min="13061" max="13061" width="5.07421875" style="1" bestFit="1" customWidth="1"/>
    <col min="13062" max="13062" width="9.07421875" style="1" bestFit="1" customWidth="1"/>
    <col min="13063" max="13063" width="9.07421875" style="1" customWidth="1"/>
    <col min="13064" max="13072" width="4.07421875" style="1" customWidth="1"/>
    <col min="13073" max="13073" width="5.07421875" style="1" customWidth="1"/>
    <col min="13074" max="13074" width="6.53515625" style="1" customWidth="1"/>
    <col min="13075" max="13075" width="9" style="1"/>
    <col min="13076" max="13084" width="5" style="1" customWidth="1"/>
    <col min="13085" max="13086" width="7.07421875" style="1" customWidth="1"/>
    <col min="13087" max="13091" width="8.84375" style="1" customWidth="1"/>
    <col min="13092" max="13312" width="9" style="1"/>
    <col min="13313" max="13313" width="11.4609375" style="1" customWidth="1"/>
    <col min="13314" max="13315" width="9" style="1"/>
    <col min="13316" max="13316" width="18.4609375" style="1" customWidth="1"/>
    <col min="13317" max="13317" width="5.07421875" style="1" bestFit="1" customWidth="1"/>
    <col min="13318" max="13318" width="9.07421875" style="1" bestFit="1" customWidth="1"/>
    <col min="13319" max="13319" width="9.07421875" style="1" customWidth="1"/>
    <col min="13320" max="13328" width="4.07421875" style="1" customWidth="1"/>
    <col min="13329" max="13329" width="5.07421875" style="1" customWidth="1"/>
    <col min="13330" max="13330" width="6.53515625" style="1" customWidth="1"/>
    <col min="13331" max="13331" width="9" style="1"/>
    <col min="13332" max="13340" width="5" style="1" customWidth="1"/>
    <col min="13341" max="13342" width="7.07421875" style="1" customWidth="1"/>
    <col min="13343" max="13347" width="8.84375" style="1" customWidth="1"/>
    <col min="13348" max="13568" width="9" style="1"/>
    <col min="13569" max="13569" width="11.4609375" style="1" customWidth="1"/>
    <col min="13570" max="13571" width="9" style="1"/>
    <col min="13572" max="13572" width="18.4609375" style="1" customWidth="1"/>
    <col min="13573" max="13573" width="5.07421875" style="1" bestFit="1" customWidth="1"/>
    <col min="13574" max="13574" width="9.07421875" style="1" bestFit="1" customWidth="1"/>
    <col min="13575" max="13575" width="9.07421875" style="1" customWidth="1"/>
    <col min="13576" max="13584" width="4.07421875" style="1" customWidth="1"/>
    <col min="13585" max="13585" width="5.07421875" style="1" customWidth="1"/>
    <col min="13586" max="13586" width="6.53515625" style="1" customWidth="1"/>
    <col min="13587" max="13587" width="9" style="1"/>
    <col min="13588" max="13596" width="5" style="1" customWidth="1"/>
    <col min="13597" max="13598" width="7.07421875" style="1" customWidth="1"/>
    <col min="13599" max="13603" width="8.84375" style="1" customWidth="1"/>
    <col min="13604" max="13824" width="9" style="1"/>
    <col min="13825" max="13825" width="11.4609375" style="1" customWidth="1"/>
    <col min="13826" max="13827" width="9" style="1"/>
    <col min="13828" max="13828" width="18.4609375" style="1" customWidth="1"/>
    <col min="13829" max="13829" width="5.07421875" style="1" bestFit="1" customWidth="1"/>
    <col min="13830" max="13830" width="9.07421875" style="1" bestFit="1" customWidth="1"/>
    <col min="13831" max="13831" width="9.07421875" style="1" customWidth="1"/>
    <col min="13832" max="13840" width="4.07421875" style="1" customWidth="1"/>
    <col min="13841" max="13841" width="5.07421875" style="1" customWidth="1"/>
    <col min="13842" max="13842" width="6.53515625" style="1" customWidth="1"/>
    <col min="13843" max="13843" width="9" style="1"/>
    <col min="13844" max="13852" width="5" style="1" customWidth="1"/>
    <col min="13853" max="13854" width="7.07421875" style="1" customWidth="1"/>
    <col min="13855" max="13859" width="8.84375" style="1" customWidth="1"/>
    <col min="13860" max="14080" width="9" style="1"/>
    <col min="14081" max="14081" width="11.4609375" style="1" customWidth="1"/>
    <col min="14082" max="14083" width="9" style="1"/>
    <col min="14084" max="14084" width="18.4609375" style="1" customWidth="1"/>
    <col min="14085" max="14085" width="5.07421875" style="1" bestFit="1" customWidth="1"/>
    <col min="14086" max="14086" width="9.07421875" style="1" bestFit="1" customWidth="1"/>
    <col min="14087" max="14087" width="9.07421875" style="1" customWidth="1"/>
    <col min="14088" max="14096" width="4.07421875" style="1" customWidth="1"/>
    <col min="14097" max="14097" width="5.07421875" style="1" customWidth="1"/>
    <col min="14098" max="14098" width="6.53515625" style="1" customWidth="1"/>
    <col min="14099" max="14099" width="9" style="1"/>
    <col min="14100" max="14108" width="5" style="1" customWidth="1"/>
    <col min="14109" max="14110" width="7.07421875" style="1" customWidth="1"/>
    <col min="14111" max="14115" width="8.84375" style="1" customWidth="1"/>
    <col min="14116" max="14336" width="9" style="1"/>
    <col min="14337" max="14337" width="11.4609375" style="1" customWidth="1"/>
    <col min="14338" max="14339" width="9" style="1"/>
    <col min="14340" max="14340" width="18.4609375" style="1" customWidth="1"/>
    <col min="14341" max="14341" width="5.07421875" style="1" bestFit="1" customWidth="1"/>
    <col min="14342" max="14342" width="9.07421875" style="1" bestFit="1" customWidth="1"/>
    <col min="14343" max="14343" width="9.07421875" style="1" customWidth="1"/>
    <col min="14344" max="14352" width="4.07421875" style="1" customWidth="1"/>
    <col min="14353" max="14353" width="5.07421875" style="1" customWidth="1"/>
    <col min="14354" max="14354" width="6.53515625" style="1" customWidth="1"/>
    <col min="14355" max="14355" width="9" style="1"/>
    <col min="14356" max="14364" width="5" style="1" customWidth="1"/>
    <col min="14365" max="14366" width="7.07421875" style="1" customWidth="1"/>
    <col min="14367" max="14371" width="8.84375" style="1" customWidth="1"/>
    <col min="14372" max="14592" width="9" style="1"/>
    <col min="14593" max="14593" width="11.4609375" style="1" customWidth="1"/>
    <col min="14594" max="14595" width="9" style="1"/>
    <col min="14596" max="14596" width="18.4609375" style="1" customWidth="1"/>
    <col min="14597" max="14597" width="5.07421875" style="1" bestFit="1" customWidth="1"/>
    <col min="14598" max="14598" width="9.07421875" style="1" bestFit="1" customWidth="1"/>
    <col min="14599" max="14599" width="9.07421875" style="1" customWidth="1"/>
    <col min="14600" max="14608" width="4.07421875" style="1" customWidth="1"/>
    <col min="14609" max="14609" width="5.07421875" style="1" customWidth="1"/>
    <col min="14610" max="14610" width="6.53515625" style="1" customWidth="1"/>
    <col min="14611" max="14611" width="9" style="1"/>
    <col min="14612" max="14620" width="5" style="1" customWidth="1"/>
    <col min="14621" max="14622" width="7.07421875" style="1" customWidth="1"/>
    <col min="14623" max="14627" width="8.84375" style="1" customWidth="1"/>
    <col min="14628" max="14848" width="9" style="1"/>
    <col min="14849" max="14849" width="11.4609375" style="1" customWidth="1"/>
    <col min="14850" max="14851" width="9" style="1"/>
    <col min="14852" max="14852" width="18.4609375" style="1" customWidth="1"/>
    <col min="14853" max="14853" width="5.07421875" style="1" bestFit="1" customWidth="1"/>
    <col min="14854" max="14854" width="9.07421875" style="1" bestFit="1" customWidth="1"/>
    <col min="14855" max="14855" width="9.07421875" style="1" customWidth="1"/>
    <col min="14856" max="14864" width="4.07421875" style="1" customWidth="1"/>
    <col min="14865" max="14865" width="5.07421875" style="1" customWidth="1"/>
    <col min="14866" max="14866" width="6.53515625" style="1" customWidth="1"/>
    <col min="14867" max="14867" width="9" style="1"/>
    <col min="14868" max="14876" width="5" style="1" customWidth="1"/>
    <col min="14877" max="14878" width="7.07421875" style="1" customWidth="1"/>
    <col min="14879" max="14883" width="8.84375" style="1" customWidth="1"/>
    <col min="14884" max="15104" width="9" style="1"/>
    <col min="15105" max="15105" width="11.4609375" style="1" customWidth="1"/>
    <col min="15106" max="15107" width="9" style="1"/>
    <col min="15108" max="15108" width="18.4609375" style="1" customWidth="1"/>
    <col min="15109" max="15109" width="5.07421875" style="1" bestFit="1" customWidth="1"/>
    <col min="15110" max="15110" width="9.07421875" style="1" bestFit="1" customWidth="1"/>
    <col min="15111" max="15111" width="9.07421875" style="1" customWidth="1"/>
    <col min="15112" max="15120" width="4.07421875" style="1" customWidth="1"/>
    <col min="15121" max="15121" width="5.07421875" style="1" customWidth="1"/>
    <col min="15122" max="15122" width="6.53515625" style="1" customWidth="1"/>
    <col min="15123" max="15123" width="9" style="1"/>
    <col min="15124" max="15132" width="5" style="1" customWidth="1"/>
    <col min="15133" max="15134" width="7.07421875" style="1" customWidth="1"/>
    <col min="15135" max="15139" width="8.84375" style="1" customWidth="1"/>
    <col min="15140" max="15360" width="9" style="1"/>
    <col min="15361" max="15361" width="11.4609375" style="1" customWidth="1"/>
    <col min="15362" max="15363" width="9" style="1"/>
    <col min="15364" max="15364" width="18.4609375" style="1" customWidth="1"/>
    <col min="15365" max="15365" width="5.07421875" style="1" bestFit="1" customWidth="1"/>
    <col min="15366" max="15366" width="9.07421875" style="1" bestFit="1" customWidth="1"/>
    <col min="15367" max="15367" width="9.07421875" style="1" customWidth="1"/>
    <col min="15368" max="15376" width="4.07421875" style="1" customWidth="1"/>
    <col min="15377" max="15377" width="5.07421875" style="1" customWidth="1"/>
    <col min="15378" max="15378" width="6.53515625" style="1" customWidth="1"/>
    <col min="15379" max="15379" width="9" style="1"/>
    <col min="15380" max="15388" width="5" style="1" customWidth="1"/>
    <col min="15389" max="15390" width="7.07421875" style="1" customWidth="1"/>
    <col min="15391" max="15395" width="8.84375" style="1" customWidth="1"/>
    <col min="15396" max="15616" width="9" style="1"/>
    <col min="15617" max="15617" width="11.4609375" style="1" customWidth="1"/>
    <col min="15618" max="15619" width="9" style="1"/>
    <col min="15620" max="15620" width="18.4609375" style="1" customWidth="1"/>
    <col min="15621" max="15621" width="5.07421875" style="1" bestFit="1" customWidth="1"/>
    <col min="15622" max="15622" width="9.07421875" style="1" bestFit="1" customWidth="1"/>
    <col min="15623" max="15623" width="9.07421875" style="1" customWidth="1"/>
    <col min="15624" max="15632" width="4.07421875" style="1" customWidth="1"/>
    <col min="15633" max="15633" width="5.07421875" style="1" customWidth="1"/>
    <col min="15634" max="15634" width="6.53515625" style="1" customWidth="1"/>
    <col min="15635" max="15635" width="9" style="1"/>
    <col min="15636" max="15644" width="5" style="1" customWidth="1"/>
    <col min="15645" max="15646" width="7.07421875" style="1" customWidth="1"/>
    <col min="15647" max="15651" width="8.84375" style="1" customWidth="1"/>
    <col min="15652" max="15872" width="9" style="1"/>
    <col min="15873" max="15873" width="11.4609375" style="1" customWidth="1"/>
    <col min="15874" max="15875" width="9" style="1"/>
    <col min="15876" max="15876" width="18.4609375" style="1" customWidth="1"/>
    <col min="15877" max="15877" width="5.07421875" style="1" bestFit="1" customWidth="1"/>
    <col min="15878" max="15878" width="9.07421875" style="1" bestFit="1" customWidth="1"/>
    <col min="15879" max="15879" width="9.07421875" style="1" customWidth="1"/>
    <col min="15880" max="15888" width="4.07421875" style="1" customWidth="1"/>
    <col min="15889" max="15889" width="5.07421875" style="1" customWidth="1"/>
    <col min="15890" max="15890" width="6.53515625" style="1" customWidth="1"/>
    <col min="15891" max="15891" width="9" style="1"/>
    <col min="15892" max="15900" width="5" style="1" customWidth="1"/>
    <col min="15901" max="15902" width="7.07421875" style="1" customWidth="1"/>
    <col min="15903" max="15907" width="8.84375" style="1" customWidth="1"/>
    <col min="15908" max="16128" width="9" style="1"/>
    <col min="16129" max="16129" width="11.4609375" style="1" customWidth="1"/>
    <col min="16130" max="16131" width="9" style="1"/>
    <col min="16132" max="16132" width="18.4609375" style="1" customWidth="1"/>
    <col min="16133" max="16133" width="5.07421875" style="1" bestFit="1" customWidth="1"/>
    <col min="16134" max="16134" width="9.07421875" style="1" bestFit="1" customWidth="1"/>
    <col min="16135" max="16135" width="9.07421875" style="1" customWidth="1"/>
    <col min="16136" max="16144" width="4.07421875" style="1" customWidth="1"/>
    <col min="16145" max="16145" width="5.07421875" style="1" customWidth="1"/>
    <col min="16146" max="16146" width="6.53515625" style="1" customWidth="1"/>
    <col min="16147" max="16147" width="9" style="1"/>
    <col min="16148" max="16156" width="5" style="1" customWidth="1"/>
    <col min="16157" max="16158" width="7.07421875" style="1" customWidth="1"/>
    <col min="16159" max="16163" width="8.84375" style="1" customWidth="1"/>
    <col min="16164" max="16384" width="9" style="1"/>
  </cols>
  <sheetData>
    <row r="1" spans="1:38" ht="15.45" x14ac:dyDescent="0.4">
      <c r="A1" s="20" t="s">
        <v>73</v>
      </c>
      <c r="B1" s="2"/>
      <c r="C1" s="2"/>
      <c r="D1" s="2"/>
      <c r="E1" s="2"/>
      <c r="F1" s="2"/>
      <c r="G1" s="2"/>
      <c r="S1" s="21" t="s">
        <v>74</v>
      </c>
      <c r="T1" s="22">
        <v>4</v>
      </c>
      <c r="U1" s="22">
        <v>3</v>
      </c>
      <c r="V1" s="22">
        <v>4</v>
      </c>
      <c r="W1" s="22">
        <v>5</v>
      </c>
      <c r="X1" s="22">
        <v>4</v>
      </c>
      <c r="Y1" s="22">
        <v>3</v>
      </c>
      <c r="Z1" s="22">
        <v>4</v>
      </c>
      <c r="AA1" s="22">
        <v>5</v>
      </c>
      <c r="AB1" s="23">
        <v>4</v>
      </c>
      <c r="AC1" s="24">
        <v>36</v>
      </c>
      <c r="AD1" s="25"/>
    </row>
    <row r="2" spans="1:38" ht="15" thickBot="1" x14ac:dyDescent="0.45">
      <c r="A2" s="85" t="s">
        <v>75</v>
      </c>
      <c r="B2" s="85"/>
      <c r="C2" s="2">
        <v>2</v>
      </c>
      <c r="D2" s="26" t="s">
        <v>76</v>
      </c>
      <c r="E2" s="26"/>
      <c r="F2" s="26"/>
      <c r="G2" s="26"/>
      <c r="S2" s="27" t="s">
        <v>77</v>
      </c>
      <c r="T2" s="28">
        <v>3</v>
      </c>
      <c r="U2" s="28">
        <v>4</v>
      </c>
      <c r="V2" s="28">
        <v>4</v>
      </c>
      <c r="W2" s="28">
        <v>4</v>
      </c>
      <c r="X2" s="28">
        <v>5</v>
      </c>
      <c r="Y2" s="28">
        <v>4</v>
      </c>
      <c r="Z2" s="28">
        <v>3</v>
      </c>
      <c r="AA2" s="28">
        <v>5</v>
      </c>
      <c r="AB2" s="29">
        <v>4</v>
      </c>
      <c r="AC2" s="30">
        <v>36</v>
      </c>
      <c r="AD2" s="25"/>
    </row>
    <row r="3" spans="1:38" x14ac:dyDescent="0.4">
      <c r="B3" s="2"/>
      <c r="C3" s="2"/>
      <c r="D3" s="2"/>
      <c r="E3" s="2"/>
      <c r="F3" s="2"/>
      <c r="G3" s="2"/>
      <c r="S3" s="31" t="s">
        <v>78</v>
      </c>
      <c r="T3" s="32">
        <v>1</v>
      </c>
      <c r="U3" s="32">
        <v>3</v>
      </c>
      <c r="V3" s="32">
        <v>7</v>
      </c>
      <c r="W3" s="32">
        <v>8</v>
      </c>
      <c r="X3" s="32">
        <v>4</v>
      </c>
      <c r="Y3" s="32">
        <v>9</v>
      </c>
      <c r="Z3" s="32">
        <v>2</v>
      </c>
      <c r="AA3" s="32">
        <v>6</v>
      </c>
      <c r="AB3" s="33">
        <v>5</v>
      </c>
      <c r="AC3" s="34"/>
      <c r="AD3" s="25"/>
    </row>
    <row r="4" spans="1:38" ht="15" thickBot="1" x14ac:dyDescent="0.45">
      <c r="A4" s="2"/>
      <c r="B4" s="2"/>
      <c r="C4" s="2"/>
      <c r="D4" s="2"/>
      <c r="E4" s="2"/>
      <c r="F4" s="2"/>
      <c r="G4" s="2"/>
      <c r="S4" s="27" t="s">
        <v>79</v>
      </c>
      <c r="T4" s="28">
        <v>9</v>
      </c>
      <c r="U4" s="28">
        <v>2</v>
      </c>
      <c r="V4" s="28">
        <v>5</v>
      </c>
      <c r="W4" s="28">
        <v>4</v>
      </c>
      <c r="X4" s="28">
        <v>3</v>
      </c>
      <c r="Y4" s="28">
        <v>8</v>
      </c>
      <c r="Z4" s="28">
        <v>6</v>
      </c>
      <c r="AA4" s="28">
        <v>7</v>
      </c>
      <c r="AB4" s="29">
        <v>1</v>
      </c>
      <c r="AC4" s="35"/>
      <c r="AD4" s="25"/>
    </row>
    <row r="5" spans="1:38" x14ac:dyDescent="0.4">
      <c r="A5" s="2"/>
      <c r="B5" s="2"/>
      <c r="C5" s="2"/>
      <c r="D5" s="2"/>
      <c r="E5" s="2"/>
      <c r="F5" s="2"/>
      <c r="G5" s="2"/>
      <c r="S5" s="36"/>
      <c r="T5" s="37"/>
      <c r="U5" s="37"/>
      <c r="V5" s="37"/>
      <c r="W5" s="37"/>
      <c r="X5" s="37"/>
      <c r="Y5" s="37"/>
      <c r="Z5" s="37"/>
      <c r="AA5" s="37"/>
      <c r="AB5" s="37"/>
      <c r="AC5" s="38"/>
      <c r="AD5" s="25"/>
    </row>
    <row r="6" spans="1:38" ht="14.25" customHeight="1" x14ac:dyDescent="0.4">
      <c r="A6" s="2" t="s">
        <v>80</v>
      </c>
      <c r="B6" s="2"/>
      <c r="C6" s="2"/>
      <c r="D6" s="2"/>
      <c r="E6" s="2"/>
      <c r="F6" s="2"/>
      <c r="G6" s="2"/>
      <c r="AD6" s="40"/>
      <c r="AE6" s="2" t="s">
        <v>0</v>
      </c>
      <c r="AF6" s="2" t="s">
        <v>81</v>
      </c>
      <c r="AG6" s="2" t="s">
        <v>82</v>
      </c>
      <c r="AH6" s="2" t="s">
        <v>83</v>
      </c>
    </row>
    <row r="7" spans="1:38" ht="15" thickBot="1" x14ac:dyDescent="0.45">
      <c r="A7" s="2"/>
      <c r="B7" s="2"/>
      <c r="C7" s="2"/>
      <c r="D7" s="2"/>
      <c r="E7" s="2"/>
      <c r="F7" s="2"/>
      <c r="G7" s="2"/>
      <c r="H7" s="41"/>
      <c r="T7" s="86"/>
      <c r="U7" s="86"/>
      <c r="V7" s="86"/>
      <c r="W7" s="86"/>
      <c r="AD7" s="40"/>
      <c r="AE7" s="2" t="s">
        <v>8</v>
      </c>
      <c r="AF7" s="2" t="s">
        <v>8</v>
      </c>
      <c r="AG7" s="2" t="s">
        <v>8</v>
      </c>
      <c r="AH7" s="2" t="s">
        <v>8</v>
      </c>
      <c r="AI7" s="1" t="s">
        <v>4</v>
      </c>
    </row>
    <row r="8" spans="1:38" ht="15" thickBot="1" x14ac:dyDescent="0.45">
      <c r="A8" s="42" t="s">
        <v>82</v>
      </c>
      <c r="B8" s="42" t="s">
        <v>0</v>
      </c>
      <c r="C8" s="42" t="s">
        <v>6</v>
      </c>
      <c r="D8" s="42" t="s">
        <v>84</v>
      </c>
      <c r="E8" s="42" t="s">
        <v>85</v>
      </c>
      <c r="F8" s="42" t="s">
        <v>86</v>
      </c>
      <c r="G8" s="42"/>
      <c r="H8" s="42">
        <v>1</v>
      </c>
      <c r="I8" s="42">
        <v>2</v>
      </c>
      <c r="J8" s="42">
        <v>3</v>
      </c>
      <c r="K8" s="42">
        <v>4</v>
      </c>
      <c r="L8" s="42">
        <v>5</v>
      </c>
      <c r="M8" s="42">
        <v>6</v>
      </c>
      <c r="N8" s="42">
        <v>7</v>
      </c>
      <c r="O8" s="42">
        <v>8</v>
      </c>
      <c r="P8" s="42">
        <v>9</v>
      </c>
      <c r="Q8" s="42" t="s">
        <v>87</v>
      </c>
      <c r="S8" s="43" t="s">
        <v>88</v>
      </c>
      <c r="T8" s="44">
        <v>1</v>
      </c>
      <c r="U8" s="44">
        <v>2</v>
      </c>
      <c r="V8" s="44">
        <v>3</v>
      </c>
      <c r="W8" s="44">
        <v>4</v>
      </c>
      <c r="X8" s="44">
        <v>5</v>
      </c>
      <c r="Y8" s="44">
        <v>6</v>
      </c>
      <c r="Z8" s="44">
        <v>7</v>
      </c>
      <c r="AA8" s="44">
        <v>8</v>
      </c>
      <c r="AB8" s="44">
        <v>9</v>
      </c>
      <c r="AC8" s="45" t="s">
        <v>4</v>
      </c>
      <c r="AD8" s="40"/>
      <c r="AE8" s="2"/>
      <c r="AH8" s="2"/>
      <c r="AJ8" s="2"/>
      <c r="AK8" s="26"/>
      <c r="AL8" s="26"/>
    </row>
    <row r="9" spans="1:38" x14ac:dyDescent="0.4">
      <c r="A9" s="46">
        <v>1</v>
      </c>
      <c r="B9" s="47">
        <v>18</v>
      </c>
      <c r="C9" s="48">
        <v>36</v>
      </c>
      <c r="D9" s="47" t="s">
        <v>32</v>
      </c>
      <c r="E9" s="48"/>
      <c r="F9" s="48"/>
      <c r="G9" s="47" t="s">
        <v>89</v>
      </c>
      <c r="H9" s="48">
        <v>7</v>
      </c>
      <c r="I9" s="48">
        <v>5</v>
      </c>
      <c r="J9" s="48">
        <v>5</v>
      </c>
      <c r="K9" s="48">
        <v>7</v>
      </c>
      <c r="L9" s="48">
        <v>4</v>
      </c>
      <c r="M9" s="48">
        <v>5</v>
      </c>
      <c r="N9" s="48">
        <v>7</v>
      </c>
      <c r="O9" s="48">
        <v>7</v>
      </c>
      <c r="P9" s="48">
        <v>6</v>
      </c>
      <c r="Q9" s="49">
        <v>53</v>
      </c>
      <c r="S9" s="50" t="s">
        <v>90</v>
      </c>
      <c r="T9" s="51">
        <v>7</v>
      </c>
      <c r="U9" s="51">
        <v>5</v>
      </c>
      <c r="V9" s="51">
        <v>5</v>
      </c>
      <c r="W9" s="51">
        <v>7</v>
      </c>
      <c r="X9" s="51">
        <v>4</v>
      </c>
      <c r="Y9" s="51">
        <v>5</v>
      </c>
      <c r="Z9" s="51">
        <v>7</v>
      </c>
      <c r="AA9" s="51">
        <v>7</v>
      </c>
      <c r="AB9" s="51">
        <v>6</v>
      </c>
      <c r="AC9" s="52">
        <v>53</v>
      </c>
      <c r="AD9" s="40"/>
      <c r="AE9" s="2"/>
      <c r="AH9" s="2"/>
    </row>
    <row r="10" spans="1:38" x14ac:dyDescent="0.4">
      <c r="A10" s="53"/>
      <c r="B10" s="54"/>
      <c r="C10" s="54"/>
      <c r="D10" s="54"/>
      <c r="E10" s="54"/>
      <c r="F10" s="54"/>
      <c r="G10" s="42" t="s">
        <v>91</v>
      </c>
      <c r="H10" s="42">
        <v>2</v>
      </c>
      <c r="I10" s="42">
        <v>2</v>
      </c>
      <c r="J10" s="42">
        <v>2</v>
      </c>
      <c r="K10" s="42">
        <v>1</v>
      </c>
      <c r="L10" s="42">
        <v>2</v>
      </c>
      <c r="M10" s="42">
        <v>1</v>
      </c>
      <c r="N10" s="42">
        <v>2</v>
      </c>
      <c r="O10" s="42">
        <v>2</v>
      </c>
      <c r="P10" s="42">
        <v>2</v>
      </c>
      <c r="Q10" s="55">
        <v>16</v>
      </c>
      <c r="S10" s="56" t="s">
        <v>92</v>
      </c>
      <c r="T10" s="57">
        <v>0</v>
      </c>
      <c r="U10" s="57">
        <v>1</v>
      </c>
      <c r="V10" s="57">
        <v>3</v>
      </c>
      <c r="W10" s="57">
        <v>0</v>
      </c>
      <c r="X10" s="57">
        <v>4</v>
      </c>
      <c r="Y10" s="57">
        <v>0</v>
      </c>
      <c r="Z10" s="57">
        <v>0</v>
      </c>
      <c r="AA10" s="57">
        <v>1</v>
      </c>
      <c r="AB10" s="57">
        <v>1</v>
      </c>
      <c r="AC10" s="58">
        <v>10</v>
      </c>
      <c r="AD10" s="40"/>
      <c r="AE10" s="2"/>
      <c r="AH10" s="2"/>
    </row>
    <row r="11" spans="1:38" ht="15" thickBot="1" x14ac:dyDescent="0.45">
      <c r="A11" s="53"/>
      <c r="B11" s="54"/>
      <c r="C11" s="54"/>
      <c r="D11" s="54"/>
      <c r="E11" s="54"/>
      <c r="F11" s="54"/>
      <c r="G11" s="59" t="s">
        <v>93</v>
      </c>
      <c r="H11" s="60">
        <v>5</v>
      </c>
      <c r="I11" s="60">
        <v>3</v>
      </c>
      <c r="J11" s="60">
        <v>3</v>
      </c>
      <c r="K11" s="60">
        <v>6</v>
      </c>
      <c r="L11" s="60">
        <v>2</v>
      </c>
      <c r="M11" s="60">
        <v>4</v>
      </c>
      <c r="N11" s="60">
        <v>5</v>
      </c>
      <c r="O11" s="60">
        <v>5</v>
      </c>
      <c r="P11" s="60">
        <v>4</v>
      </c>
      <c r="Q11" s="61">
        <v>37</v>
      </c>
      <c r="S11" s="62" t="s">
        <v>74</v>
      </c>
      <c r="T11" s="42">
        <v>4</v>
      </c>
      <c r="U11" s="42">
        <v>3</v>
      </c>
      <c r="V11" s="42">
        <v>4</v>
      </c>
      <c r="W11" s="42">
        <v>5</v>
      </c>
      <c r="X11" s="42">
        <v>4</v>
      </c>
      <c r="Y11" s="42">
        <v>3</v>
      </c>
      <c r="Z11" s="42">
        <v>4</v>
      </c>
      <c r="AA11" s="42">
        <v>5</v>
      </c>
      <c r="AB11" s="42">
        <v>4</v>
      </c>
      <c r="AC11" s="55">
        <v>36</v>
      </c>
      <c r="AD11" s="40"/>
      <c r="AE11" s="2"/>
      <c r="AH11" s="2"/>
    </row>
    <row r="12" spans="1:38" x14ac:dyDescent="0.4">
      <c r="A12" s="63" t="s">
        <v>74</v>
      </c>
      <c r="B12" s="57">
        <v>18</v>
      </c>
      <c r="C12" s="64">
        <v>35</v>
      </c>
      <c r="D12" s="47" t="s">
        <v>31</v>
      </c>
      <c r="E12" s="64"/>
      <c r="F12" s="64"/>
      <c r="G12" s="57" t="s">
        <v>89</v>
      </c>
      <c r="H12" s="64">
        <v>8</v>
      </c>
      <c r="I12" s="64">
        <v>4</v>
      </c>
      <c r="J12" s="64">
        <v>8</v>
      </c>
      <c r="K12" s="64">
        <v>7</v>
      </c>
      <c r="L12" s="64">
        <v>8</v>
      </c>
      <c r="M12" s="64">
        <v>4</v>
      </c>
      <c r="N12" s="64">
        <v>7</v>
      </c>
      <c r="O12" s="64">
        <v>8</v>
      </c>
      <c r="P12" s="64">
        <v>7</v>
      </c>
      <c r="Q12" s="49">
        <v>61</v>
      </c>
      <c r="S12" s="65" t="s">
        <v>90</v>
      </c>
      <c r="T12" s="51">
        <v>8</v>
      </c>
      <c r="U12" s="51">
        <v>4</v>
      </c>
      <c r="V12" s="51">
        <v>8</v>
      </c>
      <c r="W12" s="51">
        <v>7</v>
      </c>
      <c r="X12" s="51">
        <v>8</v>
      </c>
      <c r="Y12" s="51">
        <v>4</v>
      </c>
      <c r="Z12" s="51">
        <v>7</v>
      </c>
      <c r="AA12" s="51">
        <v>8</v>
      </c>
      <c r="AB12" s="51">
        <v>7</v>
      </c>
      <c r="AC12" s="61">
        <v>61</v>
      </c>
      <c r="AD12" s="40"/>
      <c r="AE12" s="2"/>
      <c r="AH12" s="2"/>
    </row>
    <row r="13" spans="1:38" ht="15" thickBot="1" x14ac:dyDescent="0.45">
      <c r="A13" s="53"/>
      <c r="B13" s="54"/>
      <c r="C13" s="54"/>
      <c r="D13" s="54"/>
      <c r="E13" s="54"/>
      <c r="F13" s="54"/>
      <c r="G13" s="42" t="s">
        <v>91</v>
      </c>
      <c r="H13" s="42">
        <v>3</v>
      </c>
      <c r="I13" s="42">
        <v>3</v>
      </c>
      <c r="J13" s="42">
        <v>2</v>
      </c>
      <c r="K13" s="42">
        <v>2</v>
      </c>
      <c r="L13" s="42">
        <v>2</v>
      </c>
      <c r="M13" s="42">
        <v>2</v>
      </c>
      <c r="N13" s="42">
        <v>3</v>
      </c>
      <c r="O13" s="42">
        <v>2</v>
      </c>
      <c r="P13" s="42">
        <v>2</v>
      </c>
      <c r="Q13" s="55">
        <v>21</v>
      </c>
      <c r="S13" s="56" t="s">
        <v>92</v>
      </c>
      <c r="T13" s="57">
        <v>0</v>
      </c>
      <c r="U13" s="57">
        <v>4</v>
      </c>
      <c r="V13" s="57">
        <v>-1</v>
      </c>
      <c r="W13" s="57">
        <v>1</v>
      </c>
      <c r="X13" s="57">
        <v>-1</v>
      </c>
      <c r="Y13" s="57">
        <v>3</v>
      </c>
      <c r="Z13" s="57">
        <v>1</v>
      </c>
      <c r="AA13" s="57">
        <v>0</v>
      </c>
      <c r="AB13" s="57">
        <v>0</v>
      </c>
      <c r="AC13" s="58">
        <v>7</v>
      </c>
      <c r="AD13" s="40"/>
      <c r="AE13" s="2"/>
      <c r="AH13" s="2"/>
    </row>
    <row r="14" spans="1:38" ht="15" thickBot="1" x14ac:dyDescent="0.45">
      <c r="A14" s="53"/>
      <c r="B14" s="54"/>
      <c r="C14" s="54"/>
      <c r="D14" s="54"/>
      <c r="E14" s="54"/>
      <c r="F14" s="54"/>
      <c r="G14" s="59" t="s">
        <v>93</v>
      </c>
      <c r="H14" s="60">
        <v>5</v>
      </c>
      <c r="I14" s="60">
        <v>1</v>
      </c>
      <c r="J14" s="60">
        <v>6</v>
      </c>
      <c r="K14" s="60">
        <v>5</v>
      </c>
      <c r="L14" s="60">
        <v>6</v>
      </c>
      <c r="M14" s="60">
        <v>2</v>
      </c>
      <c r="N14" s="60">
        <v>4</v>
      </c>
      <c r="O14" s="60">
        <v>6</v>
      </c>
      <c r="P14" s="60">
        <v>5</v>
      </c>
      <c r="Q14" s="61">
        <v>40</v>
      </c>
      <c r="S14" s="62" t="s">
        <v>74</v>
      </c>
      <c r="T14" s="42">
        <v>4</v>
      </c>
      <c r="U14" s="42">
        <v>3</v>
      </c>
      <c r="V14" s="42">
        <v>4</v>
      </c>
      <c r="W14" s="42">
        <v>5</v>
      </c>
      <c r="X14" s="42">
        <v>4</v>
      </c>
      <c r="Y14" s="42">
        <v>3</v>
      </c>
      <c r="Z14" s="42">
        <v>4</v>
      </c>
      <c r="AA14" s="42">
        <v>5</v>
      </c>
      <c r="AB14" s="42">
        <v>4</v>
      </c>
      <c r="AC14" s="55">
        <v>36</v>
      </c>
      <c r="AD14" s="40">
        <v>18</v>
      </c>
      <c r="AE14" s="66">
        <v>17</v>
      </c>
      <c r="AF14" s="66">
        <v>2</v>
      </c>
      <c r="AG14" s="66">
        <v>4</v>
      </c>
      <c r="AH14" s="67">
        <v>4</v>
      </c>
      <c r="AI14" s="67">
        <v>10</v>
      </c>
    </row>
    <row r="15" spans="1:38" x14ac:dyDescent="0.4">
      <c r="A15" s="63" t="s">
        <v>94</v>
      </c>
      <c r="B15" s="68">
        <v>14</v>
      </c>
      <c r="C15" s="69">
        <v>28</v>
      </c>
      <c r="D15" s="68" t="s">
        <v>20</v>
      </c>
      <c r="E15" s="69"/>
      <c r="F15" s="69"/>
      <c r="G15" s="68" t="s">
        <v>89</v>
      </c>
      <c r="H15" s="69">
        <v>5</v>
      </c>
      <c r="I15" s="69">
        <v>3</v>
      </c>
      <c r="J15" s="69">
        <v>4</v>
      </c>
      <c r="K15" s="69">
        <v>5</v>
      </c>
      <c r="L15" s="69">
        <v>5</v>
      </c>
      <c r="M15" s="69">
        <v>5</v>
      </c>
      <c r="N15" s="69">
        <v>4</v>
      </c>
      <c r="O15" s="69">
        <v>4</v>
      </c>
      <c r="P15" s="69">
        <v>4</v>
      </c>
      <c r="Q15" s="70">
        <v>39</v>
      </c>
      <c r="S15" s="65" t="s">
        <v>90</v>
      </c>
      <c r="T15" s="51">
        <v>5</v>
      </c>
      <c r="U15" s="51">
        <v>3</v>
      </c>
      <c r="V15" s="51">
        <v>4</v>
      </c>
      <c r="W15" s="51">
        <v>5</v>
      </c>
      <c r="X15" s="51">
        <v>5</v>
      </c>
      <c r="Y15" s="51">
        <v>5</v>
      </c>
      <c r="Z15" s="51">
        <v>4</v>
      </c>
      <c r="AA15" s="51">
        <v>4</v>
      </c>
      <c r="AB15" s="51">
        <v>4</v>
      </c>
      <c r="AC15" s="61">
        <v>39</v>
      </c>
      <c r="AD15" s="40"/>
      <c r="AE15" s="2"/>
      <c r="AH15" s="2">
        <v>0</v>
      </c>
    </row>
    <row r="16" spans="1:38" x14ac:dyDescent="0.4">
      <c r="A16" s="53"/>
      <c r="B16" s="54"/>
      <c r="C16" s="54"/>
      <c r="D16" s="54"/>
      <c r="E16" s="54"/>
      <c r="F16" s="54"/>
      <c r="G16" s="42" t="s">
        <v>91</v>
      </c>
      <c r="H16" s="42">
        <v>1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42">
        <v>0</v>
      </c>
      <c r="O16" s="42">
        <v>0</v>
      </c>
      <c r="P16" s="42">
        <v>0</v>
      </c>
      <c r="Q16" s="55">
        <v>1</v>
      </c>
      <c r="S16" s="71" t="s">
        <v>92</v>
      </c>
      <c r="T16" s="71">
        <v>1</v>
      </c>
      <c r="U16" s="71">
        <v>1</v>
      </c>
      <c r="V16" s="71">
        <v>1</v>
      </c>
      <c r="W16" s="71">
        <v>1</v>
      </c>
      <c r="X16" s="71">
        <v>0</v>
      </c>
      <c r="Y16" s="71">
        <v>-1</v>
      </c>
      <c r="Z16" s="71">
        <v>1</v>
      </c>
      <c r="AA16" s="71">
        <v>3</v>
      </c>
      <c r="AB16" s="71">
        <v>1</v>
      </c>
      <c r="AC16" s="70">
        <v>8</v>
      </c>
      <c r="AD16" s="40"/>
      <c r="AE16" s="2"/>
      <c r="AH16" s="2"/>
    </row>
    <row r="17" spans="1:35" x14ac:dyDescent="0.4">
      <c r="A17" s="53"/>
      <c r="B17" s="54"/>
      <c r="C17" s="54"/>
      <c r="D17" s="54"/>
      <c r="E17" s="54"/>
      <c r="F17" s="54"/>
      <c r="G17" s="59" t="s">
        <v>93</v>
      </c>
      <c r="H17" s="60">
        <v>4</v>
      </c>
      <c r="I17" s="60">
        <v>3</v>
      </c>
      <c r="J17" s="60">
        <v>4</v>
      </c>
      <c r="K17" s="60">
        <v>5</v>
      </c>
      <c r="L17" s="60">
        <v>5</v>
      </c>
      <c r="M17" s="60">
        <v>5</v>
      </c>
      <c r="N17" s="60">
        <v>4</v>
      </c>
      <c r="O17" s="60">
        <v>4</v>
      </c>
      <c r="P17" s="60">
        <v>4</v>
      </c>
      <c r="Q17" s="61">
        <v>38</v>
      </c>
      <c r="S17" s="62" t="s">
        <v>74</v>
      </c>
      <c r="T17" s="42">
        <v>4</v>
      </c>
      <c r="U17" s="42">
        <v>3</v>
      </c>
      <c r="V17" s="42">
        <v>4</v>
      </c>
      <c r="W17" s="42">
        <v>5</v>
      </c>
      <c r="X17" s="42">
        <v>4</v>
      </c>
      <c r="Y17" s="42">
        <v>3</v>
      </c>
      <c r="Z17" s="42">
        <v>4</v>
      </c>
      <c r="AA17" s="42">
        <v>5</v>
      </c>
      <c r="AB17" s="42">
        <v>4</v>
      </c>
      <c r="AC17" s="55">
        <v>36</v>
      </c>
      <c r="AD17" s="40"/>
      <c r="AE17" s="2"/>
      <c r="AH17" s="2"/>
    </row>
    <row r="18" spans="1:35" x14ac:dyDescent="0.4">
      <c r="A18" s="63" t="s">
        <v>95</v>
      </c>
      <c r="B18" s="68">
        <v>14</v>
      </c>
      <c r="C18" s="69">
        <v>27</v>
      </c>
      <c r="D18" s="68" t="s">
        <v>19</v>
      </c>
      <c r="E18" s="69"/>
      <c r="F18" s="69"/>
      <c r="G18" s="68" t="s">
        <v>89</v>
      </c>
      <c r="H18" s="69">
        <v>5</v>
      </c>
      <c r="I18" s="69">
        <v>5</v>
      </c>
      <c r="J18" s="69">
        <v>4</v>
      </c>
      <c r="K18" s="69">
        <v>8</v>
      </c>
      <c r="L18" s="69">
        <v>6</v>
      </c>
      <c r="M18" s="69">
        <v>5</v>
      </c>
      <c r="N18" s="69">
        <v>5</v>
      </c>
      <c r="O18" s="69">
        <v>6</v>
      </c>
      <c r="P18" s="69">
        <v>7</v>
      </c>
      <c r="Q18" s="70">
        <v>51</v>
      </c>
      <c r="S18" s="65" t="s">
        <v>90</v>
      </c>
      <c r="T18" s="51">
        <v>5</v>
      </c>
      <c r="U18" s="51">
        <v>5</v>
      </c>
      <c r="V18" s="51">
        <v>4</v>
      </c>
      <c r="W18" s="51">
        <v>8</v>
      </c>
      <c r="X18" s="51">
        <v>6</v>
      </c>
      <c r="Y18" s="51">
        <v>5</v>
      </c>
      <c r="Z18" s="51">
        <v>5</v>
      </c>
      <c r="AA18" s="51">
        <v>6</v>
      </c>
      <c r="AB18" s="51">
        <v>7</v>
      </c>
      <c r="AC18" s="61">
        <v>51</v>
      </c>
      <c r="AD18" s="40"/>
      <c r="AE18" s="2"/>
      <c r="AH18" s="2"/>
    </row>
    <row r="19" spans="1:35" ht="15" thickBot="1" x14ac:dyDescent="0.45">
      <c r="A19" s="53"/>
      <c r="B19" s="54"/>
      <c r="C19" s="54"/>
      <c r="D19" s="54"/>
      <c r="E19" s="54"/>
      <c r="F19" s="54"/>
      <c r="G19" s="42" t="s">
        <v>91</v>
      </c>
      <c r="H19" s="42">
        <v>2</v>
      </c>
      <c r="I19" s="42">
        <v>1</v>
      </c>
      <c r="J19" s="42">
        <v>1</v>
      </c>
      <c r="K19" s="42">
        <v>1</v>
      </c>
      <c r="L19" s="42">
        <v>1</v>
      </c>
      <c r="M19" s="42">
        <v>1</v>
      </c>
      <c r="N19" s="42">
        <v>2</v>
      </c>
      <c r="O19" s="42">
        <v>1</v>
      </c>
      <c r="P19" s="42">
        <v>1</v>
      </c>
      <c r="Q19" s="55">
        <v>11</v>
      </c>
      <c r="S19" s="71" t="s">
        <v>92</v>
      </c>
      <c r="T19" s="71">
        <v>3</v>
      </c>
      <c r="U19" s="71">
        <v>0</v>
      </c>
      <c r="V19" s="71">
        <v>3</v>
      </c>
      <c r="W19" s="71">
        <v>-1</v>
      </c>
      <c r="X19" s="71">
        <v>0</v>
      </c>
      <c r="Y19" s="71">
        <v>0</v>
      </c>
      <c r="Z19" s="71">
        <v>3</v>
      </c>
      <c r="AA19" s="71">
        <v>1</v>
      </c>
      <c r="AB19" s="71">
        <v>-1</v>
      </c>
      <c r="AC19" s="70">
        <v>8</v>
      </c>
      <c r="AD19" s="40"/>
      <c r="AE19" s="2"/>
      <c r="AH19" s="2"/>
    </row>
    <row r="20" spans="1:35" ht="15" thickBot="1" x14ac:dyDescent="0.45">
      <c r="A20" s="72"/>
      <c r="B20" s="73"/>
      <c r="C20" s="73"/>
      <c r="D20" s="73"/>
      <c r="E20" s="73"/>
      <c r="F20" s="73"/>
      <c r="G20" s="74" t="s">
        <v>93</v>
      </c>
      <c r="H20" s="60">
        <v>3</v>
      </c>
      <c r="I20" s="60">
        <v>4</v>
      </c>
      <c r="J20" s="60">
        <v>3</v>
      </c>
      <c r="K20" s="60">
        <v>7</v>
      </c>
      <c r="L20" s="60">
        <v>5</v>
      </c>
      <c r="M20" s="60">
        <v>4</v>
      </c>
      <c r="N20" s="60">
        <v>3</v>
      </c>
      <c r="O20" s="60">
        <v>5</v>
      </c>
      <c r="P20" s="60">
        <v>6</v>
      </c>
      <c r="Q20" s="75">
        <v>40</v>
      </c>
      <c r="S20" s="27" t="s">
        <v>74</v>
      </c>
      <c r="T20" s="76">
        <v>4</v>
      </c>
      <c r="U20" s="76">
        <v>3</v>
      </c>
      <c r="V20" s="76">
        <v>4</v>
      </c>
      <c r="W20" s="76">
        <v>5</v>
      </c>
      <c r="X20" s="76">
        <v>4</v>
      </c>
      <c r="Y20" s="76">
        <v>3</v>
      </c>
      <c r="Z20" s="76">
        <v>4</v>
      </c>
      <c r="AA20" s="76">
        <v>5</v>
      </c>
      <c r="AB20" s="76">
        <v>4</v>
      </c>
      <c r="AC20" s="77">
        <v>36</v>
      </c>
      <c r="AD20" s="40">
        <v>14</v>
      </c>
      <c r="AE20" s="78">
        <v>16</v>
      </c>
      <c r="AF20" s="78">
        <v>2</v>
      </c>
      <c r="AG20" s="78">
        <v>0</v>
      </c>
      <c r="AH20" s="79">
        <v>2</v>
      </c>
      <c r="AI20" s="79">
        <v>4</v>
      </c>
    </row>
    <row r="21" spans="1:35" ht="15" thickBo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40"/>
      <c r="AE21" s="2"/>
      <c r="AH21" s="2"/>
    </row>
    <row r="22" spans="1:35" ht="15" thickBot="1" x14ac:dyDescent="0.45">
      <c r="A22" s="42" t="s">
        <v>82</v>
      </c>
      <c r="B22" s="42" t="s">
        <v>0</v>
      </c>
      <c r="C22" s="42" t="s">
        <v>6</v>
      </c>
      <c r="D22" s="42" t="s">
        <v>84</v>
      </c>
      <c r="E22" s="42" t="s">
        <v>85</v>
      </c>
      <c r="F22" s="42" t="s">
        <v>86</v>
      </c>
      <c r="G22" s="42"/>
      <c r="H22" s="42">
        <v>1</v>
      </c>
      <c r="I22" s="42">
        <v>2</v>
      </c>
      <c r="J22" s="42">
        <v>3</v>
      </c>
      <c r="K22" s="42">
        <v>4</v>
      </c>
      <c r="L22" s="42">
        <v>5</v>
      </c>
      <c r="M22" s="42">
        <v>6</v>
      </c>
      <c r="N22" s="42">
        <v>7</v>
      </c>
      <c r="O22" s="42">
        <v>8</v>
      </c>
      <c r="P22" s="42">
        <v>9</v>
      </c>
      <c r="Q22" s="42" t="s">
        <v>87</v>
      </c>
      <c r="S22" s="43" t="s">
        <v>88</v>
      </c>
      <c r="T22" s="44">
        <v>1</v>
      </c>
      <c r="U22" s="44">
        <v>2</v>
      </c>
      <c r="V22" s="44">
        <v>3</v>
      </c>
      <c r="W22" s="44">
        <v>4</v>
      </c>
      <c r="X22" s="44">
        <v>5</v>
      </c>
      <c r="Y22" s="44">
        <v>6</v>
      </c>
      <c r="Z22" s="44">
        <v>7</v>
      </c>
      <c r="AA22" s="44">
        <v>8</v>
      </c>
      <c r="AB22" s="44">
        <v>9</v>
      </c>
      <c r="AC22" s="45" t="s">
        <v>4</v>
      </c>
      <c r="AD22" s="40"/>
      <c r="AE22" s="2"/>
      <c r="AH22" s="2"/>
    </row>
    <row r="23" spans="1:35" x14ac:dyDescent="0.4">
      <c r="A23" s="46">
        <v>2</v>
      </c>
      <c r="B23" s="47">
        <v>16</v>
      </c>
      <c r="C23" s="48">
        <v>31</v>
      </c>
      <c r="D23" s="47" t="s">
        <v>15</v>
      </c>
      <c r="E23" s="48"/>
      <c r="F23" s="48"/>
      <c r="G23" s="47" t="s">
        <v>89</v>
      </c>
      <c r="H23" s="48">
        <v>4</v>
      </c>
      <c r="I23" s="48">
        <v>4</v>
      </c>
      <c r="J23" s="48">
        <v>5</v>
      </c>
      <c r="K23" s="48">
        <v>6</v>
      </c>
      <c r="L23" s="48">
        <v>5</v>
      </c>
      <c r="M23" s="48">
        <v>3</v>
      </c>
      <c r="N23" s="48">
        <v>6</v>
      </c>
      <c r="O23" s="48">
        <v>5</v>
      </c>
      <c r="P23" s="48">
        <v>7</v>
      </c>
      <c r="Q23" s="49">
        <v>45</v>
      </c>
      <c r="S23" s="50" t="s">
        <v>90</v>
      </c>
      <c r="T23" s="51">
        <v>4</v>
      </c>
      <c r="U23" s="51">
        <v>4</v>
      </c>
      <c r="V23" s="51">
        <v>5</v>
      </c>
      <c r="W23" s="51">
        <v>6</v>
      </c>
      <c r="X23" s="51">
        <v>5</v>
      </c>
      <c r="Y23" s="51">
        <v>3</v>
      </c>
      <c r="Z23" s="51">
        <v>6</v>
      </c>
      <c r="AA23" s="51">
        <v>5</v>
      </c>
      <c r="AB23" s="51">
        <v>7</v>
      </c>
      <c r="AC23" s="52">
        <v>45</v>
      </c>
      <c r="AD23" s="40"/>
      <c r="AE23" s="2"/>
      <c r="AH23" s="2"/>
    </row>
    <row r="24" spans="1:35" x14ac:dyDescent="0.4">
      <c r="A24" s="53"/>
      <c r="B24" s="54"/>
      <c r="C24" s="54"/>
      <c r="D24" s="54"/>
      <c r="E24" s="54"/>
      <c r="F24" s="54"/>
      <c r="G24" s="42" t="s">
        <v>91</v>
      </c>
      <c r="H24" s="42">
        <v>2</v>
      </c>
      <c r="I24" s="42">
        <v>1</v>
      </c>
      <c r="J24" s="42">
        <v>1</v>
      </c>
      <c r="K24" s="42">
        <v>1</v>
      </c>
      <c r="L24" s="42">
        <v>1</v>
      </c>
      <c r="M24" s="42">
        <v>1</v>
      </c>
      <c r="N24" s="42">
        <v>1</v>
      </c>
      <c r="O24" s="42">
        <v>1</v>
      </c>
      <c r="P24" s="42">
        <v>1</v>
      </c>
      <c r="Q24" s="55">
        <v>10</v>
      </c>
      <c r="S24" s="56" t="s">
        <v>92</v>
      </c>
      <c r="T24" s="57">
        <v>4</v>
      </c>
      <c r="U24" s="57">
        <v>1</v>
      </c>
      <c r="V24" s="57">
        <v>1</v>
      </c>
      <c r="W24" s="57">
        <v>1</v>
      </c>
      <c r="X24" s="57">
        <v>1</v>
      </c>
      <c r="Y24" s="57">
        <v>3</v>
      </c>
      <c r="Z24" s="57">
        <v>0</v>
      </c>
      <c r="AA24" s="57">
        <v>3</v>
      </c>
      <c r="AB24" s="57">
        <v>-1</v>
      </c>
      <c r="AC24" s="58">
        <v>13</v>
      </c>
      <c r="AD24" s="40"/>
      <c r="AE24" s="2"/>
      <c r="AH24" s="2"/>
    </row>
    <row r="25" spans="1:35" ht="15" thickBot="1" x14ac:dyDescent="0.45">
      <c r="A25" s="53"/>
      <c r="B25" s="54"/>
      <c r="C25" s="54"/>
      <c r="D25" s="54"/>
      <c r="E25" s="54"/>
      <c r="F25" s="54"/>
      <c r="G25" s="59" t="s">
        <v>93</v>
      </c>
      <c r="H25" s="60">
        <v>2</v>
      </c>
      <c r="I25" s="60">
        <v>3</v>
      </c>
      <c r="J25" s="60">
        <v>4</v>
      </c>
      <c r="K25" s="60">
        <v>5</v>
      </c>
      <c r="L25" s="60">
        <v>4</v>
      </c>
      <c r="M25" s="60">
        <v>2</v>
      </c>
      <c r="N25" s="60">
        <v>5</v>
      </c>
      <c r="O25" s="60">
        <v>4</v>
      </c>
      <c r="P25" s="60">
        <v>6</v>
      </c>
      <c r="Q25" s="61">
        <v>35</v>
      </c>
      <c r="S25" s="62" t="s">
        <v>74</v>
      </c>
      <c r="T25" s="42">
        <v>4</v>
      </c>
      <c r="U25" s="42">
        <v>3</v>
      </c>
      <c r="V25" s="42">
        <v>4</v>
      </c>
      <c r="W25" s="42">
        <v>5</v>
      </c>
      <c r="X25" s="42">
        <v>4</v>
      </c>
      <c r="Y25" s="42">
        <v>3</v>
      </c>
      <c r="Z25" s="42">
        <v>4</v>
      </c>
      <c r="AA25" s="42">
        <v>5</v>
      </c>
      <c r="AB25" s="42">
        <v>4</v>
      </c>
      <c r="AC25" s="55">
        <v>36</v>
      </c>
      <c r="AD25" s="40"/>
      <c r="AE25" s="2"/>
      <c r="AH25" s="2"/>
    </row>
    <row r="26" spans="1:35" x14ac:dyDescent="0.4">
      <c r="A26" s="63" t="s">
        <v>74</v>
      </c>
      <c r="B26" s="57">
        <v>16</v>
      </c>
      <c r="C26" s="64">
        <v>32</v>
      </c>
      <c r="D26" s="47" t="s">
        <v>16</v>
      </c>
      <c r="E26" s="64"/>
      <c r="F26" s="64"/>
      <c r="G26" s="57" t="s">
        <v>89</v>
      </c>
      <c r="H26" s="64">
        <v>10</v>
      </c>
      <c r="I26" s="64">
        <v>6</v>
      </c>
      <c r="J26" s="64">
        <v>8</v>
      </c>
      <c r="K26" s="64">
        <v>9</v>
      </c>
      <c r="L26" s="64">
        <v>7</v>
      </c>
      <c r="M26" s="64">
        <v>4</v>
      </c>
      <c r="N26" s="64">
        <v>8</v>
      </c>
      <c r="O26" s="64">
        <v>10</v>
      </c>
      <c r="P26" s="64">
        <v>9</v>
      </c>
      <c r="Q26" s="49">
        <v>71</v>
      </c>
      <c r="S26" s="65" t="s">
        <v>90</v>
      </c>
      <c r="T26" s="51">
        <v>10</v>
      </c>
      <c r="U26" s="51">
        <v>6</v>
      </c>
      <c r="V26" s="51">
        <v>8</v>
      </c>
      <c r="W26" s="51">
        <v>9</v>
      </c>
      <c r="X26" s="51">
        <v>7</v>
      </c>
      <c r="Y26" s="51">
        <v>4</v>
      </c>
      <c r="Z26" s="51">
        <v>8</v>
      </c>
      <c r="AA26" s="51">
        <v>10</v>
      </c>
      <c r="AB26" s="51">
        <v>9</v>
      </c>
      <c r="AC26" s="61">
        <v>71</v>
      </c>
      <c r="AD26" s="40"/>
      <c r="AE26" s="2"/>
      <c r="AH26" s="2"/>
    </row>
    <row r="27" spans="1:35" ht="15" thickBot="1" x14ac:dyDescent="0.45">
      <c r="A27" s="53"/>
      <c r="B27" s="54"/>
      <c r="C27" s="54"/>
      <c r="D27" s="54"/>
      <c r="E27" s="54"/>
      <c r="F27" s="54"/>
      <c r="G27" s="42" t="s">
        <v>91</v>
      </c>
      <c r="H27" s="42">
        <v>4</v>
      </c>
      <c r="I27" s="42">
        <v>4</v>
      </c>
      <c r="J27" s="42">
        <v>3</v>
      </c>
      <c r="K27" s="42">
        <v>3</v>
      </c>
      <c r="L27" s="42">
        <v>3</v>
      </c>
      <c r="M27" s="42">
        <v>3</v>
      </c>
      <c r="N27" s="42">
        <v>4</v>
      </c>
      <c r="O27" s="42">
        <v>3</v>
      </c>
      <c r="P27" s="42">
        <v>3</v>
      </c>
      <c r="Q27" s="55">
        <v>31</v>
      </c>
      <c r="S27" s="56" t="s">
        <v>92</v>
      </c>
      <c r="T27" s="57">
        <v>-1</v>
      </c>
      <c r="U27" s="57">
        <v>3</v>
      </c>
      <c r="V27" s="57">
        <v>0</v>
      </c>
      <c r="W27" s="57">
        <v>0</v>
      </c>
      <c r="X27" s="57">
        <v>1</v>
      </c>
      <c r="Y27" s="57">
        <v>4</v>
      </c>
      <c r="Z27" s="57">
        <v>1</v>
      </c>
      <c r="AA27" s="57">
        <v>-1</v>
      </c>
      <c r="AB27" s="57">
        <v>-1</v>
      </c>
      <c r="AC27" s="58">
        <v>6</v>
      </c>
      <c r="AD27" s="40"/>
      <c r="AE27" s="2"/>
      <c r="AH27" s="2"/>
    </row>
    <row r="28" spans="1:35" ht="15" thickBot="1" x14ac:dyDescent="0.45">
      <c r="A28" s="53"/>
      <c r="B28" s="54"/>
      <c r="C28" s="54"/>
      <c r="D28" s="54"/>
      <c r="E28" s="54"/>
      <c r="F28" s="54"/>
      <c r="G28" s="59" t="s">
        <v>93</v>
      </c>
      <c r="H28" s="60">
        <v>6</v>
      </c>
      <c r="I28" s="60">
        <v>2</v>
      </c>
      <c r="J28" s="60">
        <v>5</v>
      </c>
      <c r="K28" s="60">
        <v>6</v>
      </c>
      <c r="L28" s="60">
        <v>4</v>
      </c>
      <c r="M28" s="60">
        <v>1</v>
      </c>
      <c r="N28" s="60">
        <v>4</v>
      </c>
      <c r="O28" s="60">
        <v>7</v>
      </c>
      <c r="P28" s="60">
        <v>6</v>
      </c>
      <c r="Q28" s="61">
        <v>41</v>
      </c>
      <c r="S28" s="62" t="s">
        <v>74</v>
      </c>
      <c r="T28" s="42">
        <v>4</v>
      </c>
      <c r="U28" s="42">
        <v>3</v>
      </c>
      <c r="V28" s="42">
        <v>4</v>
      </c>
      <c r="W28" s="42">
        <v>5</v>
      </c>
      <c r="X28" s="42">
        <v>4</v>
      </c>
      <c r="Y28" s="42">
        <v>3</v>
      </c>
      <c r="Z28" s="42">
        <v>4</v>
      </c>
      <c r="AA28" s="42">
        <v>5</v>
      </c>
      <c r="AB28" s="42">
        <v>4</v>
      </c>
      <c r="AC28" s="55">
        <v>36</v>
      </c>
      <c r="AD28" s="40">
        <v>16</v>
      </c>
      <c r="AE28" s="80">
        <v>19</v>
      </c>
      <c r="AF28" s="66">
        <v>4</v>
      </c>
      <c r="AG28" s="66">
        <v>4</v>
      </c>
      <c r="AH28" s="67">
        <v>4</v>
      </c>
      <c r="AI28" s="67">
        <v>12</v>
      </c>
    </row>
    <row r="29" spans="1:35" x14ac:dyDescent="0.4">
      <c r="A29" s="63" t="s">
        <v>94</v>
      </c>
      <c r="B29" s="68">
        <v>13</v>
      </c>
      <c r="C29" s="69">
        <v>26</v>
      </c>
      <c r="D29" s="68" t="s">
        <v>28</v>
      </c>
      <c r="E29" s="69"/>
      <c r="F29" s="69"/>
      <c r="G29" s="68" t="s">
        <v>89</v>
      </c>
      <c r="H29" s="69">
        <v>4</v>
      </c>
      <c r="I29" s="69">
        <v>3</v>
      </c>
      <c r="J29" s="69">
        <v>6</v>
      </c>
      <c r="K29" s="69">
        <v>6</v>
      </c>
      <c r="L29" s="69">
        <v>4</v>
      </c>
      <c r="M29" s="69">
        <v>4</v>
      </c>
      <c r="N29" s="69">
        <v>6</v>
      </c>
      <c r="O29" s="69">
        <v>6</v>
      </c>
      <c r="P29" s="69">
        <v>7</v>
      </c>
      <c r="Q29" s="70">
        <v>46</v>
      </c>
      <c r="S29" s="65" t="s">
        <v>90</v>
      </c>
      <c r="T29" s="51">
        <v>4</v>
      </c>
      <c r="U29" s="51">
        <v>3</v>
      </c>
      <c r="V29" s="51">
        <v>6</v>
      </c>
      <c r="W29" s="51">
        <v>6</v>
      </c>
      <c r="X29" s="51">
        <v>4</v>
      </c>
      <c r="Y29" s="51">
        <v>4</v>
      </c>
      <c r="Z29" s="51">
        <v>6</v>
      </c>
      <c r="AA29" s="51">
        <v>6</v>
      </c>
      <c r="AB29" s="51">
        <v>7</v>
      </c>
      <c r="AC29" s="61">
        <v>46</v>
      </c>
      <c r="AD29" s="40"/>
      <c r="AE29" s="2"/>
      <c r="AH29" s="2"/>
    </row>
    <row r="30" spans="1:35" x14ac:dyDescent="0.4">
      <c r="A30" s="53"/>
      <c r="B30" s="54"/>
      <c r="C30" s="54"/>
      <c r="D30" s="54"/>
      <c r="E30" s="54"/>
      <c r="F30" s="54"/>
      <c r="G30" s="42" t="s">
        <v>91</v>
      </c>
      <c r="H30" s="42">
        <v>2</v>
      </c>
      <c r="I30" s="42">
        <v>1</v>
      </c>
      <c r="J30" s="42">
        <v>1</v>
      </c>
      <c r="K30" s="42">
        <v>1</v>
      </c>
      <c r="L30" s="42">
        <v>1</v>
      </c>
      <c r="M30" s="42">
        <v>1</v>
      </c>
      <c r="N30" s="42">
        <v>1</v>
      </c>
      <c r="O30" s="42">
        <v>1</v>
      </c>
      <c r="P30" s="42">
        <v>1</v>
      </c>
      <c r="Q30" s="55">
        <v>10</v>
      </c>
      <c r="S30" s="71" t="s">
        <v>92</v>
      </c>
      <c r="T30" s="71">
        <v>1</v>
      </c>
      <c r="U30" s="71">
        <v>-1</v>
      </c>
      <c r="V30" s="71">
        <v>0</v>
      </c>
      <c r="W30" s="71">
        <v>3</v>
      </c>
      <c r="X30" s="71">
        <v>-1</v>
      </c>
      <c r="Y30" s="71">
        <v>0</v>
      </c>
      <c r="Z30" s="71">
        <v>0</v>
      </c>
      <c r="AA30" s="71">
        <v>1</v>
      </c>
      <c r="AB30" s="71">
        <v>-1</v>
      </c>
      <c r="AC30" s="70">
        <v>2</v>
      </c>
      <c r="AD30" s="40"/>
      <c r="AE30" s="2"/>
      <c r="AH30" s="2"/>
    </row>
    <row r="31" spans="1:35" x14ac:dyDescent="0.4">
      <c r="A31" s="53"/>
      <c r="B31" s="54"/>
      <c r="C31" s="54"/>
      <c r="D31" s="54"/>
      <c r="E31" s="54"/>
      <c r="F31" s="54"/>
      <c r="G31" s="59" t="s">
        <v>93</v>
      </c>
      <c r="H31" s="60">
        <v>4</v>
      </c>
      <c r="I31" s="60">
        <v>6</v>
      </c>
      <c r="J31" s="60">
        <v>4</v>
      </c>
      <c r="K31" s="60">
        <v>8</v>
      </c>
      <c r="L31" s="60">
        <v>7</v>
      </c>
      <c r="M31" s="60">
        <v>3</v>
      </c>
      <c r="N31" s="60">
        <v>5</v>
      </c>
      <c r="O31" s="60">
        <v>8</v>
      </c>
      <c r="P31" s="60">
        <v>6</v>
      </c>
      <c r="Q31" s="61">
        <v>51</v>
      </c>
      <c r="S31" s="62" t="s">
        <v>74</v>
      </c>
      <c r="T31" s="42">
        <v>4</v>
      </c>
      <c r="U31" s="42">
        <v>3</v>
      </c>
      <c r="V31" s="42">
        <v>4</v>
      </c>
      <c r="W31" s="42">
        <v>5</v>
      </c>
      <c r="X31" s="42">
        <v>4</v>
      </c>
      <c r="Y31" s="42">
        <v>3</v>
      </c>
      <c r="Z31" s="42">
        <v>4</v>
      </c>
      <c r="AA31" s="42">
        <v>5</v>
      </c>
      <c r="AB31" s="42">
        <v>4</v>
      </c>
      <c r="AC31" s="55">
        <v>36</v>
      </c>
      <c r="AD31" s="40"/>
      <c r="AE31" s="2"/>
      <c r="AH31" s="2"/>
    </row>
    <row r="32" spans="1:35" x14ac:dyDescent="0.4">
      <c r="A32" s="63" t="s">
        <v>96</v>
      </c>
      <c r="B32" s="68">
        <v>13</v>
      </c>
      <c r="C32" s="69">
        <v>25</v>
      </c>
      <c r="D32" s="68" t="s">
        <v>27</v>
      </c>
      <c r="E32" s="69"/>
      <c r="F32" s="69"/>
      <c r="G32" s="68" t="s">
        <v>89</v>
      </c>
      <c r="H32" s="69">
        <v>6</v>
      </c>
      <c r="I32" s="69">
        <v>7</v>
      </c>
      <c r="J32" s="69">
        <v>5</v>
      </c>
      <c r="K32" s="69">
        <v>9</v>
      </c>
      <c r="L32" s="69">
        <v>8</v>
      </c>
      <c r="M32" s="69">
        <v>4</v>
      </c>
      <c r="N32" s="69">
        <v>6</v>
      </c>
      <c r="O32" s="69">
        <v>9</v>
      </c>
      <c r="P32" s="69">
        <v>7</v>
      </c>
      <c r="Q32" s="70">
        <v>61</v>
      </c>
      <c r="S32" s="65" t="s">
        <v>90</v>
      </c>
      <c r="T32" s="51">
        <v>6</v>
      </c>
      <c r="U32" s="51">
        <v>7</v>
      </c>
      <c r="V32" s="51">
        <v>5</v>
      </c>
      <c r="W32" s="51">
        <v>9</v>
      </c>
      <c r="X32" s="51">
        <v>8</v>
      </c>
      <c r="Y32" s="51">
        <v>4</v>
      </c>
      <c r="Z32" s="51">
        <v>6</v>
      </c>
      <c r="AA32" s="51">
        <v>9</v>
      </c>
      <c r="AB32" s="51">
        <v>7</v>
      </c>
      <c r="AC32" s="61">
        <v>61</v>
      </c>
      <c r="AD32" s="40"/>
      <c r="AE32" s="2"/>
      <c r="AH32" s="2"/>
    </row>
    <row r="33" spans="1:35" ht="15" thickBot="1" x14ac:dyDescent="0.45">
      <c r="A33" s="53"/>
      <c r="B33" s="54"/>
      <c r="C33" s="54"/>
      <c r="D33" s="54"/>
      <c r="E33" s="54"/>
      <c r="F33" s="54"/>
      <c r="G33" s="42" t="s">
        <v>91</v>
      </c>
      <c r="H33" s="42">
        <v>2</v>
      </c>
      <c r="I33" s="42">
        <v>2</v>
      </c>
      <c r="J33" s="42">
        <v>2</v>
      </c>
      <c r="K33" s="42">
        <v>2</v>
      </c>
      <c r="L33" s="42">
        <v>2</v>
      </c>
      <c r="M33" s="42">
        <v>2</v>
      </c>
      <c r="N33" s="42">
        <v>2</v>
      </c>
      <c r="O33" s="42">
        <v>2</v>
      </c>
      <c r="P33" s="42">
        <v>2</v>
      </c>
      <c r="Q33" s="55">
        <v>18</v>
      </c>
      <c r="S33" s="71" t="s">
        <v>92</v>
      </c>
      <c r="T33" s="71">
        <v>1</v>
      </c>
      <c r="U33" s="71">
        <v>-1</v>
      </c>
      <c r="V33" s="71">
        <v>3</v>
      </c>
      <c r="W33" s="71">
        <v>-1</v>
      </c>
      <c r="X33" s="71">
        <v>-1</v>
      </c>
      <c r="Y33" s="71">
        <v>3</v>
      </c>
      <c r="Z33" s="71">
        <v>1</v>
      </c>
      <c r="AA33" s="71">
        <v>-1</v>
      </c>
      <c r="AB33" s="71">
        <v>0</v>
      </c>
      <c r="AC33" s="70">
        <v>4</v>
      </c>
      <c r="AD33" s="40"/>
      <c r="AE33" s="2"/>
      <c r="AH33" s="2"/>
    </row>
    <row r="34" spans="1:35" ht="15" thickBot="1" x14ac:dyDescent="0.45">
      <c r="A34" s="72"/>
      <c r="B34" s="73"/>
      <c r="C34" s="73"/>
      <c r="D34" s="73"/>
      <c r="E34" s="73"/>
      <c r="F34" s="73"/>
      <c r="G34" s="74" t="s">
        <v>93</v>
      </c>
      <c r="H34" s="60">
        <v>4</v>
      </c>
      <c r="I34" s="60">
        <v>5</v>
      </c>
      <c r="J34" s="60">
        <v>3</v>
      </c>
      <c r="K34" s="60">
        <v>7</v>
      </c>
      <c r="L34" s="60">
        <v>6</v>
      </c>
      <c r="M34" s="60">
        <v>2</v>
      </c>
      <c r="N34" s="60">
        <v>4</v>
      </c>
      <c r="O34" s="60">
        <v>7</v>
      </c>
      <c r="P34" s="60">
        <v>5</v>
      </c>
      <c r="Q34" s="75">
        <v>43</v>
      </c>
      <c r="S34" s="27" t="s">
        <v>74</v>
      </c>
      <c r="T34" s="76">
        <v>4</v>
      </c>
      <c r="U34" s="76">
        <v>3</v>
      </c>
      <c r="V34" s="76">
        <v>4</v>
      </c>
      <c r="W34" s="76">
        <v>5</v>
      </c>
      <c r="X34" s="76">
        <v>4</v>
      </c>
      <c r="Y34" s="76">
        <v>3</v>
      </c>
      <c r="Z34" s="76">
        <v>4</v>
      </c>
      <c r="AA34" s="76">
        <v>5</v>
      </c>
      <c r="AB34" s="76">
        <v>4</v>
      </c>
      <c r="AC34" s="77">
        <v>36</v>
      </c>
      <c r="AD34" s="40">
        <v>13</v>
      </c>
      <c r="AE34" s="78">
        <v>6</v>
      </c>
      <c r="AF34" s="78">
        <v>0</v>
      </c>
      <c r="AG34" s="78">
        <v>0</v>
      </c>
      <c r="AH34" s="79">
        <v>0</v>
      </c>
      <c r="AI34" s="79">
        <v>0</v>
      </c>
    </row>
    <row r="35" spans="1:35" ht="15" thickBo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0"/>
      <c r="AE35" s="2"/>
      <c r="AH35" s="2"/>
    </row>
    <row r="36" spans="1:35" ht="15" thickBot="1" x14ac:dyDescent="0.45">
      <c r="A36" s="42" t="s">
        <v>82</v>
      </c>
      <c r="B36" s="42" t="s">
        <v>0</v>
      </c>
      <c r="C36" s="42" t="s">
        <v>6</v>
      </c>
      <c r="D36" s="42" t="s">
        <v>84</v>
      </c>
      <c r="E36" s="42" t="s">
        <v>85</v>
      </c>
      <c r="F36" s="42" t="s">
        <v>86</v>
      </c>
      <c r="G36" s="42"/>
      <c r="H36" s="42">
        <v>1</v>
      </c>
      <c r="I36" s="42">
        <v>2</v>
      </c>
      <c r="J36" s="42">
        <v>3</v>
      </c>
      <c r="K36" s="42">
        <v>4</v>
      </c>
      <c r="L36" s="42">
        <v>5</v>
      </c>
      <c r="M36" s="42">
        <v>6</v>
      </c>
      <c r="N36" s="42">
        <v>7</v>
      </c>
      <c r="O36" s="42">
        <v>8</v>
      </c>
      <c r="P36" s="42">
        <v>9</v>
      </c>
      <c r="Q36" s="42" t="s">
        <v>87</v>
      </c>
      <c r="S36" s="43" t="s">
        <v>88</v>
      </c>
      <c r="T36" s="44">
        <v>1</v>
      </c>
      <c r="U36" s="44">
        <v>2</v>
      </c>
      <c r="V36" s="44">
        <v>3</v>
      </c>
      <c r="W36" s="44">
        <v>4</v>
      </c>
      <c r="X36" s="44">
        <v>5</v>
      </c>
      <c r="Y36" s="44">
        <v>6</v>
      </c>
      <c r="Z36" s="44">
        <v>7</v>
      </c>
      <c r="AA36" s="44">
        <v>8</v>
      </c>
      <c r="AB36" s="44">
        <v>9</v>
      </c>
      <c r="AC36" s="45" t="s">
        <v>4</v>
      </c>
      <c r="AD36" s="40"/>
      <c r="AE36" s="2"/>
      <c r="AH36" s="2"/>
    </row>
    <row r="37" spans="1:35" x14ac:dyDescent="0.4">
      <c r="A37" s="46">
        <v>3</v>
      </c>
      <c r="B37" s="47">
        <v>5</v>
      </c>
      <c r="C37" s="48">
        <v>9</v>
      </c>
      <c r="D37" s="47" t="s">
        <v>41</v>
      </c>
      <c r="E37" s="48"/>
      <c r="F37" s="48"/>
      <c r="G37" s="47" t="s">
        <v>89</v>
      </c>
      <c r="H37" s="48">
        <v>5</v>
      </c>
      <c r="I37" s="48">
        <v>4</v>
      </c>
      <c r="J37" s="48">
        <v>5</v>
      </c>
      <c r="K37" s="48">
        <v>5</v>
      </c>
      <c r="L37" s="48">
        <v>3</v>
      </c>
      <c r="M37" s="48">
        <v>4</v>
      </c>
      <c r="N37" s="48">
        <v>4</v>
      </c>
      <c r="O37" s="48">
        <v>4</v>
      </c>
      <c r="P37" s="48">
        <v>5</v>
      </c>
      <c r="Q37" s="49">
        <v>39</v>
      </c>
      <c r="S37" s="50" t="s">
        <v>90</v>
      </c>
      <c r="T37" s="51">
        <v>5</v>
      </c>
      <c r="U37" s="51">
        <v>4</v>
      </c>
      <c r="V37" s="51">
        <v>5</v>
      </c>
      <c r="W37" s="51">
        <v>5</v>
      </c>
      <c r="X37" s="51">
        <v>3</v>
      </c>
      <c r="Y37" s="51">
        <v>4</v>
      </c>
      <c r="Z37" s="51">
        <v>4</v>
      </c>
      <c r="AA37" s="51">
        <v>4</v>
      </c>
      <c r="AB37" s="51">
        <v>5</v>
      </c>
      <c r="AC37" s="52">
        <v>39</v>
      </c>
      <c r="AD37" s="40"/>
      <c r="AE37" s="2"/>
      <c r="AH37" s="2"/>
    </row>
    <row r="38" spans="1:35" x14ac:dyDescent="0.4">
      <c r="A38" s="53"/>
      <c r="B38" s="54"/>
      <c r="C38" s="54"/>
      <c r="D38" s="54"/>
      <c r="E38" s="54"/>
      <c r="F38" s="54"/>
      <c r="G38" s="42" t="s">
        <v>91</v>
      </c>
      <c r="H38" s="42">
        <v>1</v>
      </c>
      <c r="I38" s="42">
        <v>0</v>
      </c>
      <c r="J38" s="42">
        <v>0</v>
      </c>
      <c r="K38" s="42">
        <v>0</v>
      </c>
      <c r="L38" s="42">
        <v>0</v>
      </c>
      <c r="M38" s="42">
        <v>0</v>
      </c>
      <c r="N38" s="42">
        <v>1</v>
      </c>
      <c r="O38" s="42">
        <v>0</v>
      </c>
      <c r="P38" s="42">
        <v>0</v>
      </c>
      <c r="Q38" s="55">
        <v>2</v>
      </c>
      <c r="S38" s="56" t="s">
        <v>92</v>
      </c>
      <c r="T38" s="57">
        <v>1</v>
      </c>
      <c r="U38" s="57">
        <v>0</v>
      </c>
      <c r="V38" s="57">
        <v>0</v>
      </c>
      <c r="W38" s="57">
        <v>1</v>
      </c>
      <c r="X38" s="57">
        <v>3</v>
      </c>
      <c r="Y38" s="57">
        <v>0</v>
      </c>
      <c r="Z38" s="57">
        <v>3</v>
      </c>
      <c r="AA38" s="57">
        <v>3</v>
      </c>
      <c r="AB38" s="57">
        <v>0</v>
      </c>
      <c r="AC38" s="58">
        <v>11</v>
      </c>
      <c r="AD38" s="40"/>
      <c r="AE38" s="2"/>
      <c r="AH38" s="2"/>
    </row>
    <row r="39" spans="1:35" ht="15" thickBot="1" x14ac:dyDescent="0.45">
      <c r="A39" s="53"/>
      <c r="B39" s="54"/>
      <c r="C39" s="54"/>
      <c r="D39" s="54"/>
      <c r="E39" s="54"/>
      <c r="F39" s="54"/>
      <c r="G39" s="59" t="s">
        <v>93</v>
      </c>
      <c r="H39" s="60">
        <v>4</v>
      </c>
      <c r="I39" s="60">
        <v>4</v>
      </c>
      <c r="J39" s="60">
        <v>5</v>
      </c>
      <c r="K39" s="60">
        <v>5</v>
      </c>
      <c r="L39" s="60">
        <v>3</v>
      </c>
      <c r="M39" s="60">
        <v>4</v>
      </c>
      <c r="N39" s="60">
        <v>3</v>
      </c>
      <c r="O39" s="60">
        <v>4</v>
      </c>
      <c r="P39" s="60">
        <v>5</v>
      </c>
      <c r="Q39" s="61">
        <v>37</v>
      </c>
      <c r="S39" s="62" t="s">
        <v>74</v>
      </c>
      <c r="T39" s="42">
        <v>4</v>
      </c>
      <c r="U39" s="42">
        <v>3</v>
      </c>
      <c r="V39" s="42">
        <v>4</v>
      </c>
      <c r="W39" s="42">
        <v>5</v>
      </c>
      <c r="X39" s="42">
        <v>4</v>
      </c>
      <c r="Y39" s="42">
        <v>3</v>
      </c>
      <c r="Z39" s="42">
        <v>4</v>
      </c>
      <c r="AA39" s="42">
        <v>5</v>
      </c>
      <c r="AB39" s="42">
        <v>4</v>
      </c>
      <c r="AC39" s="55">
        <v>36</v>
      </c>
      <c r="AD39" s="40"/>
      <c r="AE39" s="2"/>
      <c r="AH39" s="2"/>
    </row>
    <row r="40" spans="1:35" x14ac:dyDescent="0.4">
      <c r="A40" s="63" t="s">
        <v>74</v>
      </c>
      <c r="B40" s="57">
        <v>5</v>
      </c>
      <c r="C40" s="64">
        <v>10</v>
      </c>
      <c r="D40" s="47" t="s">
        <v>42</v>
      </c>
      <c r="E40" s="64"/>
      <c r="F40" s="64"/>
      <c r="G40" s="57" t="s">
        <v>89</v>
      </c>
      <c r="H40" s="64">
        <v>8</v>
      </c>
      <c r="I40" s="64">
        <v>3</v>
      </c>
      <c r="J40" s="64">
        <v>7</v>
      </c>
      <c r="K40" s="64">
        <v>8</v>
      </c>
      <c r="L40" s="64">
        <v>8</v>
      </c>
      <c r="M40" s="64">
        <v>4</v>
      </c>
      <c r="N40" s="64">
        <v>5</v>
      </c>
      <c r="O40" s="64">
        <v>10</v>
      </c>
      <c r="P40" s="64">
        <v>7</v>
      </c>
      <c r="Q40" s="49">
        <v>60</v>
      </c>
      <c r="S40" s="65" t="s">
        <v>90</v>
      </c>
      <c r="T40" s="51">
        <v>8</v>
      </c>
      <c r="U40" s="51">
        <v>3</v>
      </c>
      <c r="V40" s="51">
        <v>7</v>
      </c>
      <c r="W40" s="51">
        <v>8</v>
      </c>
      <c r="X40" s="51">
        <v>7</v>
      </c>
      <c r="Y40" s="51">
        <v>4</v>
      </c>
      <c r="Z40" s="51">
        <v>5</v>
      </c>
      <c r="AA40" s="51">
        <v>8</v>
      </c>
      <c r="AB40" s="51">
        <v>7</v>
      </c>
      <c r="AC40" s="61">
        <v>57</v>
      </c>
      <c r="AD40" s="40"/>
      <c r="AE40" s="2"/>
      <c r="AH40" s="2"/>
    </row>
    <row r="41" spans="1:35" ht="15" thickBot="1" x14ac:dyDescent="0.45">
      <c r="A41" s="53"/>
      <c r="B41" s="54"/>
      <c r="C41" s="54"/>
      <c r="D41" s="54"/>
      <c r="E41" s="54"/>
      <c r="F41" s="54"/>
      <c r="G41" s="42" t="s">
        <v>91</v>
      </c>
      <c r="H41" s="42">
        <v>2</v>
      </c>
      <c r="I41" s="42">
        <v>2</v>
      </c>
      <c r="J41" s="42">
        <v>1</v>
      </c>
      <c r="K41" s="42">
        <v>1</v>
      </c>
      <c r="L41" s="42">
        <v>1</v>
      </c>
      <c r="M41" s="42">
        <v>1</v>
      </c>
      <c r="N41" s="42">
        <v>2</v>
      </c>
      <c r="O41" s="42">
        <v>1</v>
      </c>
      <c r="P41" s="42">
        <v>1</v>
      </c>
      <c r="Q41" s="55">
        <v>12</v>
      </c>
      <c r="S41" s="56" t="s">
        <v>92</v>
      </c>
      <c r="T41" s="57">
        <v>-1</v>
      </c>
      <c r="U41" s="57">
        <v>4</v>
      </c>
      <c r="V41" s="57">
        <v>-1</v>
      </c>
      <c r="W41" s="57">
        <v>-1</v>
      </c>
      <c r="X41" s="57">
        <v>-1</v>
      </c>
      <c r="Y41" s="57">
        <v>1</v>
      </c>
      <c r="Z41" s="57">
        <v>3</v>
      </c>
      <c r="AA41" s="57">
        <v>-1</v>
      </c>
      <c r="AB41" s="57">
        <v>-1</v>
      </c>
      <c r="AC41" s="58">
        <v>2</v>
      </c>
      <c r="AD41" s="40"/>
      <c r="AE41" s="2"/>
      <c r="AH41" s="2"/>
    </row>
    <row r="42" spans="1:35" ht="15" thickBot="1" x14ac:dyDescent="0.45">
      <c r="A42" s="53"/>
      <c r="B42" s="54"/>
      <c r="C42" s="54"/>
      <c r="D42" s="54"/>
      <c r="E42" s="54"/>
      <c r="F42" s="54"/>
      <c r="G42" s="59" t="s">
        <v>93</v>
      </c>
      <c r="H42" s="60">
        <v>6</v>
      </c>
      <c r="I42" s="60">
        <v>1</v>
      </c>
      <c r="J42" s="60">
        <v>6</v>
      </c>
      <c r="K42" s="60">
        <v>7</v>
      </c>
      <c r="L42" s="60">
        <v>7</v>
      </c>
      <c r="M42" s="60">
        <v>3</v>
      </c>
      <c r="N42" s="60">
        <v>3</v>
      </c>
      <c r="O42" s="60">
        <v>9</v>
      </c>
      <c r="P42" s="60">
        <v>6</v>
      </c>
      <c r="Q42" s="61">
        <v>48</v>
      </c>
      <c r="S42" s="62" t="s">
        <v>74</v>
      </c>
      <c r="T42" s="42">
        <v>4</v>
      </c>
      <c r="U42" s="42">
        <v>3</v>
      </c>
      <c r="V42" s="42">
        <v>4</v>
      </c>
      <c r="W42" s="42">
        <v>5</v>
      </c>
      <c r="X42" s="42">
        <v>4</v>
      </c>
      <c r="Y42" s="42">
        <v>3</v>
      </c>
      <c r="Z42" s="42">
        <v>4</v>
      </c>
      <c r="AA42" s="42">
        <v>5</v>
      </c>
      <c r="AB42" s="42">
        <v>4</v>
      </c>
      <c r="AC42" s="55">
        <v>36</v>
      </c>
      <c r="AD42" s="40">
        <v>5</v>
      </c>
      <c r="AE42" s="80">
        <v>13</v>
      </c>
      <c r="AF42" s="66">
        <v>2</v>
      </c>
      <c r="AG42" s="66">
        <v>0</v>
      </c>
      <c r="AH42" s="67">
        <v>0</v>
      </c>
      <c r="AI42" s="67">
        <v>2</v>
      </c>
    </row>
    <row r="43" spans="1:35" x14ac:dyDescent="0.4">
      <c r="A43" s="63" t="s">
        <v>94</v>
      </c>
      <c r="B43" s="68">
        <v>4</v>
      </c>
      <c r="C43" s="69">
        <v>7</v>
      </c>
      <c r="D43" s="68" t="s">
        <v>37</v>
      </c>
      <c r="E43" s="69"/>
      <c r="F43" s="69"/>
      <c r="G43" s="68" t="s">
        <v>89</v>
      </c>
      <c r="H43" s="69">
        <v>4</v>
      </c>
      <c r="I43" s="69">
        <v>4</v>
      </c>
      <c r="J43" s="69">
        <v>5</v>
      </c>
      <c r="K43" s="69">
        <v>6</v>
      </c>
      <c r="L43" s="69">
        <v>8</v>
      </c>
      <c r="M43" s="69">
        <v>5</v>
      </c>
      <c r="N43" s="69">
        <v>6</v>
      </c>
      <c r="O43" s="69">
        <v>8</v>
      </c>
      <c r="P43" s="69">
        <v>6</v>
      </c>
      <c r="Q43" s="70">
        <v>52</v>
      </c>
      <c r="S43" s="65" t="s">
        <v>90</v>
      </c>
      <c r="T43" s="51">
        <v>4</v>
      </c>
      <c r="U43" s="51">
        <v>4</v>
      </c>
      <c r="V43" s="51">
        <v>5</v>
      </c>
      <c r="W43" s="51">
        <v>6</v>
      </c>
      <c r="X43" s="51">
        <v>7</v>
      </c>
      <c r="Y43" s="51">
        <v>5</v>
      </c>
      <c r="Z43" s="51">
        <v>6</v>
      </c>
      <c r="AA43" s="51">
        <v>8</v>
      </c>
      <c r="AB43" s="51">
        <v>6</v>
      </c>
      <c r="AC43" s="61">
        <v>51</v>
      </c>
      <c r="AD43" s="40"/>
      <c r="AE43" s="2"/>
      <c r="AH43" s="2"/>
    </row>
    <row r="44" spans="1:35" x14ac:dyDescent="0.4">
      <c r="A44" s="53"/>
      <c r="B44" s="54"/>
      <c r="C44" s="54"/>
      <c r="D44" s="54"/>
      <c r="E44" s="54"/>
      <c r="F44" s="54"/>
      <c r="G44" s="42" t="s">
        <v>91</v>
      </c>
      <c r="H44" s="42">
        <v>2</v>
      </c>
      <c r="I44" s="42">
        <v>1</v>
      </c>
      <c r="J44" s="42">
        <v>1</v>
      </c>
      <c r="K44" s="42">
        <v>1</v>
      </c>
      <c r="L44" s="42">
        <v>1</v>
      </c>
      <c r="M44" s="42">
        <v>1</v>
      </c>
      <c r="N44" s="42">
        <v>2</v>
      </c>
      <c r="O44" s="42">
        <v>1</v>
      </c>
      <c r="P44" s="42">
        <v>1</v>
      </c>
      <c r="Q44" s="55">
        <v>11</v>
      </c>
      <c r="S44" s="71" t="s">
        <v>92</v>
      </c>
      <c r="T44" s="71">
        <v>4</v>
      </c>
      <c r="U44" s="71">
        <v>1</v>
      </c>
      <c r="V44" s="71">
        <v>1</v>
      </c>
      <c r="W44" s="71">
        <v>1</v>
      </c>
      <c r="X44" s="71">
        <v>-1</v>
      </c>
      <c r="Y44" s="71">
        <v>0</v>
      </c>
      <c r="Z44" s="71">
        <v>1</v>
      </c>
      <c r="AA44" s="71">
        <v>-1</v>
      </c>
      <c r="AB44" s="71">
        <v>0</v>
      </c>
      <c r="AC44" s="70">
        <v>6</v>
      </c>
      <c r="AD44" s="40"/>
      <c r="AE44" s="2"/>
      <c r="AH44" s="2"/>
    </row>
    <row r="45" spans="1:35" x14ac:dyDescent="0.4">
      <c r="A45" s="53"/>
      <c r="B45" s="54"/>
      <c r="C45" s="54"/>
      <c r="D45" s="54"/>
      <c r="E45" s="54"/>
      <c r="F45" s="54"/>
      <c r="G45" s="59" t="s">
        <v>93</v>
      </c>
      <c r="H45" s="60">
        <v>2</v>
      </c>
      <c r="I45" s="60">
        <v>3</v>
      </c>
      <c r="J45" s="60">
        <v>4</v>
      </c>
      <c r="K45" s="60">
        <v>5</v>
      </c>
      <c r="L45" s="60">
        <v>7</v>
      </c>
      <c r="M45" s="60">
        <v>4</v>
      </c>
      <c r="N45" s="60">
        <v>4</v>
      </c>
      <c r="O45" s="60">
        <v>7</v>
      </c>
      <c r="P45" s="60">
        <v>5</v>
      </c>
      <c r="Q45" s="61">
        <v>41</v>
      </c>
      <c r="S45" s="62" t="s">
        <v>74</v>
      </c>
      <c r="T45" s="42">
        <v>4</v>
      </c>
      <c r="U45" s="42">
        <v>3</v>
      </c>
      <c r="V45" s="42">
        <v>4</v>
      </c>
      <c r="W45" s="42">
        <v>5</v>
      </c>
      <c r="X45" s="42">
        <v>4</v>
      </c>
      <c r="Y45" s="42">
        <v>3</v>
      </c>
      <c r="Z45" s="42">
        <v>4</v>
      </c>
      <c r="AA45" s="42">
        <v>5</v>
      </c>
      <c r="AB45" s="42">
        <v>4</v>
      </c>
      <c r="AC45" s="55">
        <v>36</v>
      </c>
      <c r="AD45" s="40"/>
      <c r="AE45" s="2"/>
      <c r="AH45" s="2"/>
    </row>
    <row r="46" spans="1:35" x14ac:dyDescent="0.4">
      <c r="A46" s="63" t="s">
        <v>97</v>
      </c>
      <c r="B46" s="68">
        <v>4</v>
      </c>
      <c r="C46" s="69">
        <v>8</v>
      </c>
      <c r="D46" s="68" t="s">
        <v>38</v>
      </c>
      <c r="E46" s="69"/>
      <c r="F46" s="69"/>
      <c r="G46" s="68" t="s">
        <v>89</v>
      </c>
      <c r="H46" s="69">
        <v>5</v>
      </c>
      <c r="I46" s="69">
        <v>4</v>
      </c>
      <c r="J46" s="69">
        <v>5</v>
      </c>
      <c r="K46" s="69">
        <v>9</v>
      </c>
      <c r="L46" s="69">
        <v>4</v>
      </c>
      <c r="M46" s="69">
        <v>6</v>
      </c>
      <c r="N46" s="69">
        <v>5</v>
      </c>
      <c r="O46" s="69">
        <v>7</v>
      </c>
      <c r="P46" s="69">
        <v>7</v>
      </c>
      <c r="Q46" s="70">
        <v>52</v>
      </c>
      <c r="S46" s="65" t="s">
        <v>90</v>
      </c>
      <c r="T46" s="51">
        <v>5</v>
      </c>
      <c r="U46" s="51">
        <v>4</v>
      </c>
      <c r="V46" s="51">
        <v>5</v>
      </c>
      <c r="W46" s="51">
        <v>8</v>
      </c>
      <c r="X46" s="51">
        <v>4</v>
      </c>
      <c r="Y46" s="51">
        <v>6</v>
      </c>
      <c r="Z46" s="51">
        <v>5</v>
      </c>
      <c r="AA46" s="51">
        <v>7</v>
      </c>
      <c r="AB46" s="51">
        <v>7</v>
      </c>
      <c r="AC46" s="61">
        <v>51</v>
      </c>
      <c r="AD46" s="40"/>
      <c r="AE46" s="2"/>
      <c r="AH46" s="2"/>
    </row>
    <row r="47" spans="1:35" ht="15" thickBot="1" x14ac:dyDescent="0.45">
      <c r="A47" s="53"/>
      <c r="B47" s="54"/>
      <c r="C47" s="54"/>
      <c r="D47" s="54"/>
      <c r="E47" s="54"/>
      <c r="F47" s="54"/>
      <c r="G47" s="42" t="s">
        <v>91</v>
      </c>
      <c r="H47" s="42">
        <v>2</v>
      </c>
      <c r="I47" s="42">
        <v>2</v>
      </c>
      <c r="J47" s="42">
        <v>1</v>
      </c>
      <c r="K47" s="42">
        <v>1</v>
      </c>
      <c r="L47" s="42">
        <v>1</v>
      </c>
      <c r="M47" s="42">
        <v>1</v>
      </c>
      <c r="N47" s="42">
        <v>2</v>
      </c>
      <c r="O47" s="42">
        <v>1</v>
      </c>
      <c r="P47" s="42">
        <v>1</v>
      </c>
      <c r="Q47" s="55">
        <v>12</v>
      </c>
      <c r="S47" s="71" t="s">
        <v>92</v>
      </c>
      <c r="T47" s="71">
        <v>3</v>
      </c>
      <c r="U47" s="71">
        <v>3</v>
      </c>
      <c r="V47" s="71">
        <v>1</v>
      </c>
      <c r="W47" s="71">
        <v>-1</v>
      </c>
      <c r="X47" s="71">
        <v>3</v>
      </c>
      <c r="Y47" s="71">
        <v>-1</v>
      </c>
      <c r="Z47" s="71">
        <v>3</v>
      </c>
      <c r="AA47" s="71">
        <v>0</v>
      </c>
      <c r="AB47" s="71">
        <v>-1</v>
      </c>
      <c r="AC47" s="70">
        <v>10</v>
      </c>
      <c r="AD47" s="40"/>
      <c r="AE47" s="2"/>
      <c r="AH47" s="2"/>
    </row>
    <row r="48" spans="1:35" ht="15" thickBot="1" x14ac:dyDescent="0.45">
      <c r="A48" s="72"/>
      <c r="B48" s="73"/>
      <c r="C48" s="73"/>
      <c r="D48" s="73"/>
      <c r="E48" s="73"/>
      <c r="F48" s="73"/>
      <c r="G48" s="74" t="s">
        <v>93</v>
      </c>
      <c r="H48" s="60">
        <v>3</v>
      </c>
      <c r="I48" s="60">
        <v>2</v>
      </c>
      <c r="J48" s="60">
        <v>4</v>
      </c>
      <c r="K48" s="60">
        <v>8</v>
      </c>
      <c r="L48" s="60">
        <v>3</v>
      </c>
      <c r="M48" s="60">
        <v>5</v>
      </c>
      <c r="N48" s="60">
        <v>3</v>
      </c>
      <c r="O48" s="60">
        <v>6</v>
      </c>
      <c r="P48" s="60">
        <v>6</v>
      </c>
      <c r="Q48" s="75">
        <v>40</v>
      </c>
      <c r="S48" s="27" t="s">
        <v>74</v>
      </c>
      <c r="T48" s="76">
        <v>4</v>
      </c>
      <c r="U48" s="76">
        <v>3</v>
      </c>
      <c r="V48" s="76">
        <v>4</v>
      </c>
      <c r="W48" s="76">
        <v>5</v>
      </c>
      <c r="X48" s="76">
        <v>4</v>
      </c>
      <c r="Y48" s="76">
        <v>3</v>
      </c>
      <c r="Z48" s="76">
        <v>4</v>
      </c>
      <c r="AA48" s="76">
        <v>5</v>
      </c>
      <c r="AB48" s="76">
        <v>4</v>
      </c>
      <c r="AC48" s="77">
        <v>36</v>
      </c>
      <c r="AD48" s="40">
        <v>4</v>
      </c>
      <c r="AE48" s="78">
        <v>16</v>
      </c>
      <c r="AF48" s="78">
        <v>2</v>
      </c>
      <c r="AG48" s="78">
        <v>4</v>
      </c>
      <c r="AH48" s="79">
        <v>2</v>
      </c>
      <c r="AI48" s="79">
        <v>8</v>
      </c>
    </row>
    <row r="49" spans="1:35" ht="15" thickBo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40"/>
      <c r="AE49" s="2"/>
      <c r="AH49" s="2"/>
    </row>
    <row r="50" spans="1:35" ht="15" thickBot="1" x14ac:dyDescent="0.45">
      <c r="A50" s="42" t="s">
        <v>82</v>
      </c>
      <c r="B50" s="42" t="s">
        <v>0</v>
      </c>
      <c r="C50" s="42" t="s">
        <v>6</v>
      </c>
      <c r="D50" s="42" t="s">
        <v>84</v>
      </c>
      <c r="E50" s="42" t="s">
        <v>85</v>
      </c>
      <c r="F50" s="42" t="s">
        <v>86</v>
      </c>
      <c r="G50" s="42"/>
      <c r="H50" s="42">
        <v>1</v>
      </c>
      <c r="I50" s="42">
        <v>2</v>
      </c>
      <c r="J50" s="42">
        <v>3</v>
      </c>
      <c r="K50" s="42">
        <v>4</v>
      </c>
      <c r="L50" s="42">
        <v>5</v>
      </c>
      <c r="M50" s="42">
        <v>6</v>
      </c>
      <c r="N50" s="42">
        <v>7</v>
      </c>
      <c r="O50" s="42">
        <v>8</v>
      </c>
      <c r="P50" s="42">
        <v>9</v>
      </c>
      <c r="Q50" s="42" t="s">
        <v>87</v>
      </c>
      <c r="S50" s="43" t="s">
        <v>88</v>
      </c>
      <c r="T50" s="44">
        <v>1</v>
      </c>
      <c r="U50" s="44">
        <v>2</v>
      </c>
      <c r="V50" s="44">
        <v>3</v>
      </c>
      <c r="W50" s="44">
        <v>4</v>
      </c>
      <c r="X50" s="44">
        <v>5</v>
      </c>
      <c r="Y50" s="44">
        <v>6</v>
      </c>
      <c r="Z50" s="44">
        <v>7</v>
      </c>
      <c r="AA50" s="44">
        <v>8</v>
      </c>
      <c r="AB50" s="44">
        <v>9</v>
      </c>
      <c r="AC50" s="45" t="s">
        <v>4</v>
      </c>
      <c r="AD50" s="40"/>
      <c r="AE50" s="2"/>
      <c r="AH50" s="2"/>
    </row>
    <row r="51" spans="1:35" x14ac:dyDescent="0.4">
      <c r="A51" s="46">
        <v>4</v>
      </c>
      <c r="B51" s="47">
        <v>2</v>
      </c>
      <c r="C51" s="48">
        <v>3</v>
      </c>
      <c r="D51" s="47" t="s">
        <v>21</v>
      </c>
      <c r="E51" s="48"/>
      <c r="F51" s="48"/>
      <c r="G51" s="47" t="s">
        <v>89</v>
      </c>
      <c r="H51" s="48">
        <v>7</v>
      </c>
      <c r="I51" s="48">
        <v>4</v>
      </c>
      <c r="J51" s="48">
        <v>7</v>
      </c>
      <c r="K51" s="48">
        <v>5</v>
      </c>
      <c r="L51" s="48">
        <v>5</v>
      </c>
      <c r="M51" s="48">
        <v>4</v>
      </c>
      <c r="N51" s="48">
        <v>5</v>
      </c>
      <c r="O51" s="48">
        <v>5</v>
      </c>
      <c r="P51" s="48">
        <v>5</v>
      </c>
      <c r="Q51" s="49">
        <v>47</v>
      </c>
      <c r="S51" s="50" t="s">
        <v>90</v>
      </c>
      <c r="T51" s="51">
        <v>7</v>
      </c>
      <c r="U51" s="51">
        <v>4</v>
      </c>
      <c r="V51" s="51">
        <v>6</v>
      </c>
      <c r="W51" s="51">
        <v>5</v>
      </c>
      <c r="X51" s="51">
        <v>5</v>
      </c>
      <c r="Y51" s="51">
        <v>4</v>
      </c>
      <c r="Z51" s="51">
        <v>5</v>
      </c>
      <c r="AA51" s="51">
        <v>5</v>
      </c>
      <c r="AB51" s="51">
        <v>5</v>
      </c>
      <c r="AC51" s="52">
        <v>46</v>
      </c>
      <c r="AD51" s="40"/>
      <c r="AE51" s="2"/>
      <c r="AH51" s="2"/>
    </row>
    <row r="52" spans="1:35" x14ac:dyDescent="0.4">
      <c r="A52" s="53"/>
      <c r="B52" s="54"/>
      <c r="C52" s="54"/>
      <c r="D52" s="54"/>
      <c r="E52" s="54"/>
      <c r="F52" s="54"/>
      <c r="G52" s="42" t="s">
        <v>91</v>
      </c>
      <c r="H52" s="42">
        <v>1</v>
      </c>
      <c r="I52" s="42">
        <v>1</v>
      </c>
      <c r="J52" s="42">
        <v>0</v>
      </c>
      <c r="K52" s="42">
        <v>0</v>
      </c>
      <c r="L52" s="42">
        <v>1</v>
      </c>
      <c r="M52" s="42">
        <v>0</v>
      </c>
      <c r="N52" s="42">
        <v>1</v>
      </c>
      <c r="O52" s="42">
        <v>1</v>
      </c>
      <c r="P52" s="42">
        <v>1</v>
      </c>
      <c r="Q52" s="55">
        <v>6</v>
      </c>
      <c r="S52" s="56" t="s">
        <v>92</v>
      </c>
      <c r="T52" s="57">
        <v>-1</v>
      </c>
      <c r="U52" s="57">
        <v>1</v>
      </c>
      <c r="V52" s="57">
        <v>-1</v>
      </c>
      <c r="W52" s="57">
        <v>1</v>
      </c>
      <c r="X52" s="57">
        <v>1</v>
      </c>
      <c r="Y52" s="57">
        <v>0</v>
      </c>
      <c r="Z52" s="57">
        <v>1</v>
      </c>
      <c r="AA52" s="57">
        <v>3</v>
      </c>
      <c r="AB52" s="57">
        <v>1</v>
      </c>
      <c r="AC52" s="58">
        <v>6</v>
      </c>
      <c r="AD52" s="40"/>
      <c r="AE52" s="2"/>
      <c r="AH52" s="2"/>
    </row>
    <row r="53" spans="1:35" ht="15" thickBot="1" x14ac:dyDescent="0.45">
      <c r="A53" s="53"/>
      <c r="B53" s="54"/>
      <c r="C53" s="54"/>
      <c r="D53" s="54"/>
      <c r="E53" s="54"/>
      <c r="F53" s="54"/>
      <c r="G53" s="59" t="s">
        <v>93</v>
      </c>
      <c r="H53" s="60">
        <v>6</v>
      </c>
      <c r="I53" s="60">
        <v>3</v>
      </c>
      <c r="J53" s="60">
        <v>7</v>
      </c>
      <c r="K53" s="60">
        <v>5</v>
      </c>
      <c r="L53" s="60">
        <v>4</v>
      </c>
      <c r="M53" s="60">
        <v>4</v>
      </c>
      <c r="N53" s="60">
        <v>4</v>
      </c>
      <c r="O53" s="60">
        <v>4</v>
      </c>
      <c r="P53" s="60">
        <v>4</v>
      </c>
      <c r="Q53" s="61">
        <v>41</v>
      </c>
      <c r="S53" s="62" t="s">
        <v>74</v>
      </c>
      <c r="T53" s="42">
        <v>4</v>
      </c>
      <c r="U53" s="42">
        <v>3</v>
      </c>
      <c r="V53" s="42">
        <v>4</v>
      </c>
      <c r="W53" s="42">
        <v>5</v>
      </c>
      <c r="X53" s="42">
        <v>4</v>
      </c>
      <c r="Y53" s="42">
        <v>3</v>
      </c>
      <c r="Z53" s="42">
        <v>4</v>
      </c>
      <c r="AA53" s="42">
        <v>5</v>
      </c>
      <c r="AB53" s="42">
        <v>4</v>
      </c>
      <c r="AC53" s="55">
        <v>36</v>
      </c>
      <c r="AD53" s="40"/>
      <c r="AE53" s="2"/>
      <c r="AH53" s="2"/>
    </row>
    <row r="54" spans="1:35" x14ac:dyDescent="0.4">
      <c r="A54" s="63" t="s">
        <v>74</v>
      </c>
      <c r="B54" s="57">
        <v>2</v>
      </c>
      <c r="C54" s="64">
        <v>4</v>
      </c>
      <c r="D54" s="47" t="s">
        <v>22</v>
      </c>
      <c r="E54" s="64"/>
      <c r="F54" s="64"/>
      <c r="G54" s="57" t="s">
        <v>89</v>
      </c>
      <c r="H54" s="64">
        <v>7</v>
      </c>
      <c r="I54" s="64">
        <v>3</v>
      </c>
      <c r="J54" s="64">
        <v>6</v>
      </c>
      <c r="K54" s="64">
        <v>6</v>
      </c>
      <c r="L54" s="64">
        <v>5</v>
      </c>
      <c r="M54" s="64">
        <v>4</v>
      </c>
      <c r="N54" s="64">
        <v>5</v>
      </c>
      <c r="O54" s="64">
        <v>7</v>
      </c>
      <c r="P54" s="64">
        <v>7</v>
      </c>
      <c r="Q54" s="49">
        <v>50</v>
      </c>
      <c r="S54" s="65" t="s">
        <v>90</v>
      </c>
      <c r="T54" s="51">
        <v>7</v>
      </c>
      <c r="U54" s="51">
        <v>3</v>
      </c>
      <c r="V54" s="51">
        <v>6</v>
      </c>
      <c r="W54" s="51">
        <v>6</v>
      </c>
      <c r="X54" s="51">
        <v>5</v>
      </c>
      <c r="Y54" s="51">
        <v>4</v>
      </c>
      <c r="Z54" s="51">
        <v>5</v>
      </c>
      <c r="AA54" s="51">
        <v>7</v>
      </c>
      <c r="AB54" s="51">
        <v>7</v>
      </c>
      <c r="AC54" s="61">
        <v>50</v>
      </c>
      <c r="AD54" s="40"/>
      <c r="AE54" s="2"/>
      <c r="AH54" s="2"/>
    </row>
    <row r="55" spans="1:35" ht="15" thickBot="1" x14ac:dyDescent="0.45">
      <c r="A55" s="53"/>
      <c r="B55" s="54"/>
      <c r="C55" s="54"/>
      <c r="D55" s="54"/>
      <c r="E55" s="54"/>
      <c r="F55" s="54"/>
      <c r="G55" s="42" t="s">
        <v>91</v>
      </c>
      <c r="H55" s="42">
        <v>1</v>
      </c>
      <c r="I55" s="42">
        <v>1</v>
      </c>
      <c r="J55" s="42">
        <v>1</v>
      </c>
      <c r="K55" s="42">
        <v>1</v>
      </c>
      <c r="L55" s="42">
        <v>1</v>
      </c>
      <c r="M55" s="42">
        <v>0</v>
      </c>
      <c r="N55" s="42">
        <v>1</v>
      </c>
      <c r="O55" s="42">
        <v>1</v>
      </c>
      <c r="P55" s="42">
        <v>1</v>
      </c>
      <c r="Q55" s="55">
        <v>8</v>
      </c>
      <c r="S55" s="56" t="s">
        <v>92</v>
      </c>
      <c r="T55" s="57">
        <v>-1</v>
      </c>
      <c r="U55" s="57">
        <v>3</v>
      </c>
      <c r="V55" s="57">
        <v>0</v>
      </c>
      <c r="W55" s="57">
        <v>1</v>
      </c>
      <c r="X55" s="57">
        <v>1</v>
      </c>
      <c r="Y55" s="57">
        <v>0</v>
      </c>
      <c r="Z55" s="57">
        <v>1</v>
      </c>
      <c r="AA55" s="57">
        <v>0</v>
      </c>
      <c r="AB55" s="57">
        <v>-1</v>
      </c>
      <c r="AC55" s="58">
        <v>4</v>
      </c>
      <c r="AD55" s="40"/>
      <c r="AE55" s="2"/>
      <c r="AH55" s="2"/>
    </row>
    <row r="56" spans="1:35" ht="15" thickBot="1" x14ac:dyDescent="0.45">
      <c r="A56" s="53"/>
      <c r="B56" s="54"/>
      <c r="C56" s="54"/>
      <c r="D56" s="54"/>
      <c r="E56" s="54"/>
      <c r="F56" s="54"/>
      <c r="G56" s="59" t="s">
        <v>93</v>
      </c>
      <c r="H56" s="60">
        <v>6</v>
      </c>
      <c r="I56" s="60">
        <v>2</v>
      </c>
      <c r="J56" s="60">
        <v>5</v>
      </c>
      <c r="K56" s="60">
        <v>5</v>
      </c>
      <c r="L56" s="60">
        <v>4</v>
      </c>
      <c r="M56" s="60">
        <v>4</v>
      </c>
      <c r="N56" s="60">
        <v>4</v>
      </c>
      <c r="O56" s="60">
        <v>6</v>
      </c>
      <c r="P56" s="60">
        <v>6</v>
      </c>
      <c r="Q56" s="61">
        <v>42</v>
      </c>
      <c r="S56" s="62" t="s">
        <v>74</v>
      </c>
      <c r="T56" s="42">
        <v>4</v>
      </c>
      <c r="U56" s="42">
        <v>3</v>
      </c>
      <c r="V56" s="42">
        <v>4</v>
      </c>
      <c r="W56" s="42">
        <v>5</v>
      </c>
      <c r="X56" s="42">
        <v>4</v>
      </c>
      <c r="Y56" s="42">
        <v>3</v>
      </c>
      <c r="Z56" s="42">
        <v>4</v>
      </c>
      <c r="AA56" s="42">
        <v>5</v>
      </c>
      <c r="AB56" s="42">
        <v>4</v>
      </c>
      <c r="AC56" s="55">
        <v>36</v>
      </c>
      <c r="AD56" s="40">
        <v>2</v>
      </c>
      <c r="AE56" s="80">
        <v>10</v>
      </c>
      <c r="AF56" s="66">
        <v>2</v>
      </c>
      <c r="AG56" s="66">
        <v>0</v>
      </c>
      <c r="AH56" s="67">
        <v>0</v>
      </c>
      <c r="AI56" s="67">
        <v>2</v>
      </c>
    </row>
    <row r="57" spans="1:35" x14ac:dyDescent="0.4">
      <c r="A57" s="63" t="s">
        <v>94</v>
      </c>
      <c r="B57" s="68">
        <v>6</v>
      </c>
      <c r="C57" s="69">
        <v>11</v>
      </c>
      <c r="D57" s="68" t="s">
        <v>70</v>
      </c>
      <c r="E57" s="69"/>
      <c r="F57" s="69"/>
      <c r="G57" s="68" t="s">
        <v>89</v>
      </c>
      <c r="H57" s="69">
        <v>5</v>
      </c>
      <c r="I57" s="69">
        <v>4</v>
      </c>
      <c r="J57" s="69">
        <v>4</v>
      </c>
      <c r="K57" s="69">
        <v>5</v>
      </c>
      <c r="L57" s="69">
        <v>5</v>
      </c>
      <c r="M57" s="69">
        <v>3</v>
      </c>
      <c r="N57" s="69">
        <v>4</v>
      </c>
      <c r="O57" s="69">
        <v>5</v>
      </c>
      <c r="P57" s="69">
        <v>3</v>
      </c>
      <c r="Q57" s="70">
        <v>38</v>
      </c>
      <c r="S57" s="65" t="s">
        <v>90</v>
      </c>
      <c r="T57" s="51">
        <v>5</v>
      </c>
      <c r="U57" s="51">
        <v>4</v>
      </c>
      <c r="V57" s="51">
        <v>4</v>
      </c>
      <c r="W57" s="51">
        <v>5</v>
      </c>
      <c r="X57" s="51">
        <v>5</v>
      </c>
      <c r="Y57" s="51">
        <v>3</v>
      </c>
      <c r="Z57" s="51">
        <v>4</v>
      </c>
      <c r="AA57" s="51">
        <v>5</v>
      </c>
      <c r="AB57" s="51">
        <v>3</v>
      </c>
      <c r="AC57" s="61">
        <v>38</v>
      </c>
      <c r="AD57" s="40"/>
      <c r="AE57" s="2"/>
      <c r="AH57" s="2"/>
    </row>
    <row r="58" spans="1:35" x14ac:dyDescent="0.4">
      <c r="A58" s="53"/>
      <c r="B58" s="54"/>
      <c r="C58" s="54"/>
      <c r="D58" s="54"/>
      <c r="E58" s="54"/>
      <c r="F58" s="54"/>
      <c r="G58" s="42" t="s">
        <v>91</v>
      </c>
      <c r="H58" s="42">
        <v>1</v>
      </c>
      <c r="I58" s="42">
        <v>1</v>
      </c>
      <c r="J58" s="42">
        <v>0</v>
      </c>
      <c r="K58" s="42">
        <v>0</v>
      </c>
      <c r="L58" s="42">
        <v>0</v>
      </c>
      <c r="M58" s="42">
        <v>0</v>
      </c>
      <c r="N58" s="42">
        <v>1</v>
      </c>
      <c r="O58" s="42">
        <v>0</v>
      </c>
      <c r="P58" s="42">
        <v>0</v>
      </c>
      <c r="Q58" s="55">
        <v>3</v>
      </c>
      <c r="S58" s="71" t="s">
        <v>92</v>
      </c>
      <c r="T58" s="71">
        <v>1</v>
      </c>
      <c r="U58" s="71">
        <v>1</v>
      </c>
      <c r="V58" s="71">
        <v>1</v>
      </c>
      <c r="W58" s="71">
        <v>1</v>
      </c>
      <c r="X58" s="71">
        <v>0</v>
      </c>
      <c r="Y58" s="71">
        <v>1</v>
      </c>
      <c r="Z58" s="71">
        <v>3</v>
      </c>
      <c r="AA58" s="71">
        <v>1</v>
      </c>
      <c r="AB58" s="71">
        <v>3</v>
      </c>
      <c r="AC58" s="70">
        <v>12</v>
      </c>
      <c r="AD58" s="40"/>
      <c r="AE58" s="2"/>
      <c r="AH58" s="2"/>
    </row>
    <row r="59" spans="1:35" x14ac:dyDescent="0.4">
      <c r="A59" s="53"/>
      <c r="B59" s="54"/>
      <c r="C59" s="54"/>
      <c r="D59" s="54"/>
      <c r="E59" s="54"/>
      <c r="F59" s="54"/>
      <c r="G59" s="59" t="s">
        <v>93</v>
      </c>
      <c r="H59" s="60">
        <v>4</v>
      </c>
      <c r="I59" s="60">
        <v>3</v>
      </c>
      <c r="J59" s="60">
        <v>4</v>
      </c>
      <c r="K59" s="60">
        <v>5</v>
      </c>
      <c r="L59" s="60">
        <v>5</v>
      </c>
      <c r="M59" s="60">
        <v>3</v>
      </c>
      <c r="N59" s="60">
        <v>3</v>
      </c>
      <c r="O59" s="60">
        <v>5</v>
      </c>
      <c r="P59" s="60">
        <v>3</v>
      </c>
      <c r="Q59" s="61">
        <v>35</v>
      </c>
      <c r="S59" s="62" t="s">
        <v>74</v>
      </c>
      <c r="T59" s="42">
        <v>4</v>
      </c>
      <c r="U59" s="42">
        <v>3</v>
      </c>
      <c r="V59" s="42">
        <v>4</v>
      </c>
      <c r="W59" s="42">
        <v>5</v>
      </c>
      <c r="X59" s="42">
        <v>4</v>
      </c>
      <c r="Y59" s="42">
        <v>3</v>
      </c>
      <c r="Z59" s="42">
        <v>4</v>
      </c>
      <c r="AA59" s="42">
        <v>5</v>
      </c>
      <c r="AB59" s="42">
        <v>4</v>
      </c>
      <c r="AC59" s="55">
        <v>36</v>
      </c>
      <c r="AD59" s="40"/>
      <c r="AE59" s="2"/>
      <c r="AH59" s="2"/>
    </row>
    <row r="60" spans="1:35" x14ac:dyDescent="0.4">
      <c r="A60" s="63" t="s">
        <v>98</v>
      </c>
      <c r="B60" s="68">
        <v>6</v>
      </c>
      <c r="C60" s="69">
        <v>12</v>
      </c>
      <c r="D60" s="68" t="s">
        <v>36</v>
      </c>
      <c r="E60" s="69"/>
      <c r="F60" s="69"/>
      <c r="G60" s="68" t="s">
        <v>89</v>
      </c>
      <c r="H60" s="69">
        <v>8</v>
      </c>
      <c r="I60" s="69">
        <v>5</v>
      </c>
      <c r="J60" s="69">
        <v>6</v>
      </c>
      <c r="K60" s="69">
        <v>7</v>
      </c>
      <c r="L60" s="69">
        <v>6</v>
      </c>
      <c r="M60" s="69">
        <v>5</v>
      </c>
      <c r="N60" s="69">
        <v>5</v>
      </c>
      <c r="O60" s="69">
        <v>9</v>
      </c>
      <c r="P60" s="69">
        <v>7</v>
      </c>
      <c r="Q60" s="70">
        <v>58</v>
      </c>
      <c r="S60" s="65" t="s">
        <v>90</v>
      </c>
      <c r="T60" s="51">
        <v>8</v>
      </c>
      <c r="U60" s="51">
        <v>5</v>
      </c>
      <c r="V60" s="51">
        <v>6</v>
      </c>
      <c r="W60" s="51">
        <v>7</v>
      </c>
      <c r="X60" s="51">
        <v>6</v>
      </c>
      <c r="Y60" s="51">
        <v>5</v>
      </c>
      <c r="Z60" s="51">
        <v>5</v>
      </c>
      <c r="AA60" s="51">
        <v>8</v>
      </c>
      <c r="AB60" s="51">
        <v>7</v>
      </c>
      <c r="AC60" s="61">
        <v>57</v>
      </c>
      <c r="AD60" s="40"/>
      <c r="AE60" s="2"/>
      <c r="AH60" s="2"/>
    </row>
    <row r="61" spans="1:35" ht="15" thickBot="1" x14ac:dyDescent="0.45">
      <c r="A61" s="53"/>
      <c r="B61" s="54"/>
      <c r="C61" s="54"/>
      <c r="D61" s="54"/>
      <c r="E61" s="54"/>
      <c r="F61" s="54"/>
      <c r="G61" s="42" t="s">
        <v>91</v>
      </c>
      <c r="H61" s="42">
        <v>2</v>
      </c>
      <c r="I61" s="42">
        <v>2</v>
      </c>
      <c r="J61" s="42">
        <v>1</v>
      </c>
      <c r="K61" s="42">
        <v>1</v>
      </c>
      <c r="L61" s="42">
        <v>2</v>
      </c>
      <c r="M61" s="42">
        <v>1</v>
      </c>
      <c r="N61" s="42">
        <v>2</v>
      </c>
      <c r="O61" s="42">
        <v>1</v>
      </c>
      <c r="P61" s="42">
        <v>2</v>
      </c>
      <c r="Q61" s="55">
        <v>14</v>
      </c>
      <c r="S61" s="71" t="s">
        <v>92</v>
      </c>
      <c r="T61" s="71">
        <v>-1</v>
      </c>
      <c r="U61" s="71">
        <v>1</v>
      </c>
      <c r="V61" s="71">
        <v>0</v>
      </c>
      <c r="W61" s="71">
        <v>0</v>
      </c>
      <c r="X61" s="71">
        <v>1</v>
      </c>
      <c r="Y61" s="71">
        <v>0</v>
      </c>
      <c r="Z61" s="71">
        <v>3</v>
      </c>
      <c r="AA61" s="71">
        <v>-1</v>
      </c>
      <c r="AB61" s="71">
        <v>0</v>
      </c>
      <c r="AC61" s="70">
        <v>3</v>
      </c>
      <c r="AD61" s="40"/>
      <c r="AE61" s="2"/>
      <c r="AH61" s="2"/>
    </row>
    <row r="62" spans="1:35" ht="15" thickBot="1" x14ac:dyDescent="0.45">
      <c r="A62" s="72"/>
      <c r="B62" s="73"/>
      <c r="C62" s="73"/>
      <c r="D62" s="73"/>
      <c r="E62" s="73"/>
      <c r="F62" s="73"/>
      <c r="G62" s="74" t="s">
        <v>93</v>
      </c>
      <c r="H62" s="60">
        <v>6</v>
      </c>
      <c r="I62" s="60">
        <v>3</v>
      </c>
      <c r="J62" s="60">
        <v>5</v>
      </c>
      <c r="K62" s="60">
        <v>6</v>
      </c>
      <c r="L62" s="60">
        <v>4</v>
      </c>
      <c r="M62" s="60">
        <v>4</v>
      </c>
      <c r="N62" s="60">
        <v>3</v>
      </c>
      <c r="O62" s="60">
        <v>8</v>
      </c>
      <c r="P62" s="60">
        <v>5</v>
      </c>
      <c r="Q62" s="75">
        <v>44</v>
      </c>
      <c r="S62" s="27" t="s">
        <v>74</v>
      </c>
      <c r="T62" s="76">
        <v>4</v>
      </c>
      <c r="U62" s="76">
        <v>3</v>
      </c>
      <c r="V62" s="76">
        <v>4</v>
      </c>
      <c r="W62" s="76">
        <v>5</v>
      </c>
      <c r="X62" s="76">
        <v>4</v>
      </c>
      <c r="Y62" s="76">
        <v>3</v>
      </c>
      <c r="Z62" s="76">
        <v>4</v>
      </c>
      <c r="AA62" s="76">
        <v>5</v>
      </c>
      <c r="AB62" s="76">
        <v>4</v>
      </c>
      <c r="AC62" s="77">
        <v>36</v>
      </c>
      <c r="AD62" s="40">
        <v>6</v>
      </c>
      <c r="AE62" s="78">
        <v>15</v>
      </c>
      <c r="AF62" s="78">
        <v>2</v>
      </c>
      <c r="AG62" s="78">
        <v>4</v>
      </c>
      <c r="AH62" s="79">
        <v>2</v>
      </c>
      <c r="AI62" s="79">
        <v>8</v>
      </c>
    </row>
    <row r="63" spans="1:35" ht="15" thickBo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40"/>
      <c r="AE63" s="2"/>
      <c r="AH63" s="2"/>
    </row>
    <row r="64" spans="1:35" ht="15" thickBot="1" x14ac:dyDescent="0.45">
      <c r="A64" s="42" t="s">
        <v>82</v>
      </c>
      <c r="B64" s="42" t="s">
        <v>0</v>
      </c>
      <c r="C64" s="42" t="s">
        <v>6</v>
      </c>
      <c r="D64" s="42" t="s">
        <v>84</v>
      </c>
      <c r="E64" s="42" t="s">
        <v>85</v>
      </c>
      <c r="F64" s="42" t="s">
        <v>86</v>
      </c>
      <c r="G64" s="42"/>
      <c r="H64" s="42">
        <v>1</v>
      </c>
      <c r="I64" s="42">
        <v>2</v>
      </c>
      <c r="J64" s="42">
        <v>3</v>
      </c>
      <c r="K64" s="42">
        <v>4</v>
      </c>
      <c r="L64" s="42">
        <v>5</v>
      </c>
      <c r="M64" s="42">
        <v>6</v>
      </c>
      <c r="N64" s="42">
        <v>7</v>
      </c>
      <c r="O64" s="42">
        <v>8</v>
      </c>
      <c r="P64" s="42">
        <v>9</v>
      </c>
      <c r="Q64" s="42" t="s">
        <v>87</v>
      </c>
      <c r="S64" s="43" t="s">
        <v>88</v>
      </c>
      <c r="T64" s="44">
        <v>1</v>
      </c>
      <c r="U64" s="44">
        <v>2</v>
      </c>
      <c r="V64" s="44">
        <v>3</v>
      </c>
      <c r="W64" s="44">
        <v>4</v>
      </c>
      <c r="X64" s="44">
        <v>5</v>
      </c>
      <c r="Y64" s="44">
        <v>6</v>
      </c>
      <c r="Z64" s="44">
        <v>7</v>
      </c>
      <c r="AA64" s="44">
        <v>8</v>
      </c>
      <c r="AB64" s="44">
        <v>9</v>
      </c>
      <c r="AC64" s="45" t="s">
        <v>4</v>
      </c>
      <c r="AD64" s="40"/>
      <c r="AE64" s="2"/>
      <c r="AH64" s="2"/>
    </row>
    <row r="65" spans="1:35" x14ac:dyDescent="0.4">
      <c r="A65" s="46">
        <v>5</v>
      </c>
      <c r="B65" s="47">
        <v>3</v>
      </c>
      <c r="C65" s="48">
        <v>5</v>
      </c>
      <c r="D65" s="47" t="s">
        <v>33</v>
      </c>
      <c r="E65" s="48"/>
      <c r="F65" s="48"/>
      <c r="G65" s="47" t="s">
        <v>89</v>
      </c>
      <c r="H65" s="48">
        <v>5</v>
      </c>
      <c r="I65" s="48">
        <v>3</v>
      </c>
      <c r="J65" s="48">
        <v>5</v>
      </c>
      <c r="K65" s="48">
        <v>6</v>
      </c>
      <c r="L65" s="48">
        <v>8</v>
      </c>
      <c r="M65" s="48">
        <v>4</v>
      </c>
      <c r="N65" s="48">
        <v>6</v>
      </c>
      <c r="O65" s="48">
        <v>8</v>
      </c>
      <c r="P65" s="48">
        <v>6</v>
      </c>
      <c r="Q65" s="49">
        <v>51</v>
      </c>
      <c r="S65" s="50" t="s">
        <v>90</v>
      </c>
      <c r="T65" s="51">
        <v>5</v>
      </c>
      <c r="U65" s="51">
        <v>3</v>
      </c>
      <c r="V65" s="51">
        <v>5</v>
      </c>
      <c r="W65" s="51">
        <v>6</v>
      </c>
      <c r="X65" s="51">
        <v>7</v>
      </c>
      <c r="Y65" s="51">
        <v>4</v>
      </c>
      <c r="Z65" s="51">
        <v>6</v>
      </c>
      <c r="AA65" s="51">
        <v>8</v>
      </c>
      <c r="AB65" s="51">
        <v>6</v>
      </c>
      <c r="AC65" s="52">
        <v>50</v>
      </c>
      <c r="AD65" s="40"/>
      <c r="AE65" s="2"/>
      <c r="AH65" s="2"/>
    </row>
    <row r="66" spans="1:35" x14ac:dyDescent="0.4">
      <c r="A66" s="53"/>
      <c r="B66" s="54"/>
      <c r="C66" s="54"/>
      <c r="D66" s="54"/>
      <c r="E66" s="54"/>
      <c r="F66" s="54"/>
      <c r="G66" s="42" t="s">
        <v>91</v>
      </c>
      <c r="H66" s="42">
        <v>1</v>
      </c>
      <c r="I66" s="42">
        <v>1</v>
      </c>
      <c r="J66" s="42">
        <v>1</v>
      </c>
      <c r="K66" s="42">
        <v>1</v>
      </c>
      <c r="L66" s="42">
        <v>1</v>
      </c>
      <c r="M66" s="42">
        <v>0</v>
      </c>
      <c r="N66" s="42">
        <v>1</v>
      </c>
      <c r="O66" s="42">
        <v>1</v>
      </c>
      <c r="P66" s="42">
        <v>1</v>
      </c>
      <c r="Q66" s="55">
        <v>8</v>
      </c>
      <c r="S66" s="56" t="s">
        <v>92</v>
      </c>
      <c r="T66" s="57">
        <v>1</v>
      </c>
      <c r="U66" s="57">
        <v>3</v>
      </c>
      <c r="V66" s="57">
        <v>1</v>
      </c>
      <c r="W66" s="57">
        <v>1</v>
      </c>
      <c r="X66" s="57">
        <v>-1</v>
      </c>
      <c r="Y66" s="57">
        <v>0</v>
      </c>
      <c r="Z66" s="57">
        <v>0</v>
      </c>
      <c r="AA66" s="57">
        <v>-1</v>
      </c>
      <c r="AB66" s="57">
        <v>0</v>
      </c>
      <c r="AC66" s="58">
        <v>4</v>
      </c>
      <c r="AD66" s="40"/>
      <c r="AE66" s="2"/>
      <c r="AH66" s="2"/>
    </row>
    <row r="67" spans="1:35" ht="15" thickBot="1" x14ac:dyDescent="0.45">
      <c r="A67" s="53"/>
      <c r="B67" s="54"/>
      <c r="C67" s="54"/>
      <c r="D67" s="54"/>
      <c r="E67" s="54"/>
      <c r="F67" s="54"/>
      <c r="G67" s="59" t="s">
        <v>93</v>
      </c>
      <c r="H67" s="60">
        <v>4</v>
      </c>
      <c r="I67" s="60">
        <v>2</v>
      </c>
      <c r="J67" s="60">
        <v>4</v>
      </c>
      <c r="K67" s="60">
        <v>5</v>
      </c>
      <c r="L67" s="60">
        <v>7</v>
      </c>
      <c r="M67" s="60">
        <v>4</v>
      </c>
      <c r="N67" s="60">
        <v>5</v>
      </c>
      <c r="O67" s="60">
        <v>7</v>
      </c>
      <c r="P67" s="60">
        <v>5</v>
      </c>
      <c r="Q67" s="61">
        <v>43</v>
      </c>
      <c r="S67" s="62" t="s">
        <v>74</v>
      </c>
      <c r="T67" s="42">
        <v>4</v>
      </c>
      <c r="U67" s="42">
        <v>3</v>
      </c>
      <c r="V67" s="42">
        <v>4</v>
      </c>
      <c r="W67" s="42">
        <v>5</v>
      </c>
      <c r="X67" s="42">
        <v>4</v>
      </c>
      <c r="Y67" s="42">
        <v>3</v>
      </c>
      <c r="Z67" s="42">
        <v>4</v>
      </c>
      <c r="AA67" s="42">
        <v>5</v>
      </c>
      <c r="AB67" s="42">
        <v>4</v>
      </c>
      <c r="AC67" s="55">
        <v>36</v>
      </c>
      <c r="AD67" s="40"/>
      <c r="AE67" s="2"/>
      <c r="AH67" s="2"/>
    </row>
    <row r="68" spans="1:35" x14ac:dyDescent="0.4">
      <c r="A68" s="63" t="s">
        <v>74</v>
      </c>
      <c r="B68" s="57">
        <v>3</v>
      </c>
      <c r="C68" s="64">
        <v>6</v>
      </c>
      <c r="D68" s="47" t="s">
        <v>34</v>
      </c>
      <c r="E68" s="64"/>
      <c r="F68" s="64"/>
      <c r="G68" s="57" t="s">
        <v>89</v>
      </c>
      <c r="H68" s="64">
        <v>3</v>
      </c>
      <c r="I68" s="64">
        <v>5</v>
      </c>
      <c r="J68" s="64">
        <v>5</v>
      </c>
      <c r="K68" s="64">
        <v>8</v>
      </c>
      <c r="L68" s="64">
        <v>6</v>
      </c>
      <c r="M68" s="64">
        <v>4</v>
      </c>
      <c r="N68" s="64">
        <v>6</v>
      </c>
      <c r="O68" s="64">
        <v>8</v>
      </c>
      <c r="P68" s="64">
        <v>6</v>
      </c>
      <c r="Q68" s="49">
        <v>51</v>
      </c>
      <c r="S68" s="65" t="s">
        <v>90</v>
      </c>
      <c r="T68" s="51">
        <v>3</v>
      </c>
      <c r="U68" s="51">
        <v>5</v>
      </c>
      <c r="V68" s="51">
        <v>5</v>
      </c>
      <c r="W68" s="51">
        <v>7</v>
      </c>
      <c r="X68" s="51">
        <v>6</v>
      </c>
      <c r="Y68" s="51">
        <v>4</v>
      </c>
      <c r="Z68" s="51">
        <v>6</v>
      </c>
      <c r="AA68" s="51">
        <v>8</v>
      </c>
      <c r="AB68" s="51">
        <v>6</v>
      </c>
      <c r="AC68" s="61">
        <v>50</v>
      </c>
      <c r="AD68" s="40"/>
      <c r="AE68" s="2"/>
      <c r="AH68" s="2"/>
    </row>
    <row r="69" spans="1:35" ht="15" thickBot="1" x14ac:dyDescent="0.45">
      <c r="A69" s="53"/>
      <c r="B69" s="54"/>
      <c r="C69" s="54"/>
      <c r="D69" s="54"/>
      <c r="E69" s="54"/>
      <c r="F69" s="54"/>
      <c r="G69" s="42" t="s">
        <v>91</v>
      </c>
      <c r="H69" s="42">
        <v>1</v>
      </c>
      <c r="I69" s="42">
        <v>1</v>
      </c>
      <c r="J69" s="42">
        <v>1</v>
      </c>
      <c r="K69" s="42">
        <v>0</v>
      </c>
      <c r="L69" s="42">
        <v>1</v>
      </c>
      <c r="M69" s="42">
        <v>0</v>
      </c>
      <c r="N69" s="42">
        <v>1</v>
      </c>
      <c r="O69" s="42">
        <v>1</v>
      </c>
      <c r="P69" s="42">
        <v>1</v>
      </c>
      <c r="Q69" s="55">
        <v>7</v>
      </c>
      <c r="S69" s="56" t="s">
        <v>92</v>
      </c>
      <c r="T69" s="57">
        <v>4</v>
      </c>
      <c r="U69" s="57">
        <v>0</v>
      </c>
      <c r="V69" s="57">
        <v>1</v>
      </c>
      <c r="W69" s="57">
        <v>-1</v>
      </c>
      <c r="X69" s="57">
        <v>0</v>
      </c>
      <c r="Y69" s="57">
        <v>0</v>
      </c>
      <c r="Z69" s="57">
        <v>0</v>
      </c>
      <c r="AA69" s="57">
        <v>-1</v>
      </c>
      <c r="AB69" s="57">
        <v>0</v>
      </c>
      <c r="AC69" s="58">
        <v>3</v>
      </c>
      <c r="AD69" s="40"/>
      <c r="AE69" s="2"/>
      <c r="AH69" s="2"/>
    </row>
    <row r="70" spans="1:35" ht="15" thickBot="1" x14ac:dyDescent="0.45">
      <c r="A70" s="53"/>
      <c r="B70" s="54"/>
      <c r="C70" s="54"/>
      <c r="D70" s="54"/>
      <c r="E70" s="54"/>
      <c r="F70" s="54"/>
      <c r="G70" s="59" t="s">
        <v>93</v>
      </c>
      <c r="H70" s="60">
        <v>2</v>
      </c>
      <c r="I70" s="60">
        <v>4</v>
      </c>
      <c r="J70" s="60">
        <v>4</v>
      </c>
      <c r="K70" s="60">
        <v>8</v>
      </c>
      <c r="L70" s="60">
        <v>5</v>
      </c>
      <c r="M70" s="60">
        <v>4</v>
      </c>
      <c r="N70" s="60">
        <v>5</v>
      </c>
      <c r="O70" s="60">
        <v>7</v>
      </c>
      <c r="P70" s="60">
        <v>5</v>
      </c>
      <c r="Q70" s="61">
        <v>44</v>
      </c>
      <c r="S70" s="62" t="s">
        <v>74</v>
      </c>
      <c r="T70" s="42">
        <v>4</v>
      </c>
      <c r="U70" s="42">
        <v>3</v>
      </c>
      <c r="V70" s="42">
        <v>4</v>
      </c>
      <c r="W70" s="42">
        <v>5</v>
      </c>
      <c r="X70" s="42">
        <v>4</v>
      </c>
      <c r="Y70" s="42">
        <v>3</v>
      </c>
      <c r="Z70" s="42">
        <v>4</v>
      </c>
      <c r="AA70" s="42">
        <v>5</v>
      </c>
      <c r="AB70" s="42">
        <v>4</v>
      </c>
      <c r="AC70" s="55">
        <v>36</v>
      </c>
      <c r="AD70" s="40">
        <v>3</v>
      </c>
      <c r="AE70" s="80">
        <v>7</v>
      </c>
      <c r="AF70" s="66">
        <v>0</v>
      </c>
      <c r="AG70" s="66">
        <v>0</v>
      </c>
      <c r="AH70" s="67">
        <v>0</v>
      </c>
      <c r="AI70" s="67">
        <v>0</v>
      </c>
    </row>
    <row r="71" spans="1:35" x14ac:dyDescent="0.4">
      <c r="A71" s="63" t="s">
        <v>94</v>
      </c>
      <c r="B71" s="68">
        <v>1</v>
      </c>
      <c r="C71" s="69">
        <v>2</v>
      </c>
      <c r="D71" s="68" t="s">
        <v>14</v>
      </c>
      <c r="E71" s="69"/>
      <c r="F71" s="69"/>
      <c r="G71" s="68" t="s">
        <v>89</v>
      </c>
      <c r="H71" s="69">
        <v>5</v>
      </c>
      <c r="I71" s="69">
        <v>4</v>
      </c>
      <c r="J71" s="69">
        <v>4</v>
      </c>
      <c r="K71" s="69">
        <v>5</v>
      </c>
      <c r="L71" s="69">
        <v>6</v>
      </c>
      <c r="M71" s="69">
        <v>3</v>
      </c>
      <c r="N71" s="69">
        <v>5</v>
      </c>
      <c r="O71" s="69">
        <v>6</v>
      </c>
      <c r="P71" s="69">
        <v>5</v>
      </c>
      <c r="Q71" s="70">
        <v>43</v>
      </c>
      <c r="S71" s="65" t="s">
        <v>90</v>
      </c>
      <c r="T71" s="51">
        <v>5</v>
      </c>
      <c r="U71" s="51">
        <v>4</v>
      </c>
      <c r="V71" s="51">
        <v>4</v>
      </c>
      <c r="W71" s="51">
        <v>5</v>
      </c>
      <c r="X71" s="51">
        <v>6</v>
      </c>
      <c r="Y71" s="51">
        <v>3</v>
      </c>
      <c r="Z71" s="51">
        <v>5</v>
      </c>
      <c r="AA71" s="51">
        <v>6</v>
      </c>
      <c r="AB71" s="51">
        <v>5</v>
      </c>
      <c r="AC71" s="61">
        <v>43</v>
      </c>
      <c r="AD71" s="40"/>
      <c r="AE71" s="2"/>
      <c r="AH71" s="2"/>
    </row>
    <row r="72" spans="1:35" x14ac:dyDescent="0.4">
      <c r="A72" s="53"/>
      <c r="B72" s="54"/>
      <c r="C72" s="54"/>
      <c r="D72" s="54"/>
      <c r="E72" s="54"/>
      <c r="F72" s="54"/>
      <c r="G72" s="42" t="s">
        <v>91</v>
      </c>
      <c r="H72" s="42">
        <v>1</v>
      </c>
      <c r="I72" s="42">
        <v>1</v>
      </c>
      <c r="J72" s="42">
        <v>0</v>
      </c>
      <c r="K72" s="42">
        <v>0</v>
      </c>
      <c r="L72" s="42">
        <v>1</v>
      </c>
      <c r="M72" s="42">
        <v>0</v>
      </c>
      <c r="N72" s="42">
        <v>1</v>
      </c>
      <c r="O72" s="42">
        <v>0</v>
      </c>
      <c r="P72" s="42">
        <v>1</v>
      </c>
      <c r="Q72" s="55">
        <v>5</v>
      </c>
      <c r="S72" s="71" t="s">
        <v>92</v>
      </c>
      <c r="T72" s="71">
        <v>1</v>
      </c>
      <c r="U72" s="71">
        <v>1</v>
      </c>
      <c r="V72" s="71">
        <v>1</v>
      </c>
      <c r="W72" s="71">
        <v>1</v>
      </c>
      <c r="X72" s="71">
        <v>0</v>
      </c>
      <c r="Y72" s="71">
        <v>1</v>
      </c>
      <c r="Z72" s="71">
        <v>1</v>
      </c>
      <c r="AA72" s="71">
        <v>0</v>
      </c>
      <c r="AB72" s="71">
        <v>1</v>
      </c>
      <c r="AC72" s="70">
        <v>7</v>
      </c>
      <c r="AD72" s="40"/>
      <c r="AE72" s="2"/>
      <c r="AH72" s="2"/>
    </row>
    <row r="73" spans="1:35" x14ac:dyDescent="0.4">
      <c r="A73" s="53"/>
      <c r="B73" s="54"/>
      <c r="C73" s="54"/>
      <c r="D73" s="54"/>
      <c r="E73" s="54"/>
      <c r="F73" s="54"/>
      <c r="G73" s="59" t="s">
        <v>93</v>
      </c>
      <c r="H73" s="60">
        <v>4</v>
      </c>
      <c r="I73" s="60">
        <v>3</v>
      </c>
      <c r="J73" s="60">
        <v>4</v>
      </c>
      <c r="K73" s="60">
        <v>5</v>
      </c>
      <c r="L73" s="60">
        <v>5</v>
      </c>
      <c r="M73" s="60">
        <v>3</v>
      </c>
      <c r="N73" s="60">
        <v>4</v>
      </c>
      <c r="O73" s="60">
        <v>6</v>
      </c>
      <c r="P73" s="60">
        <v>4</v>
      </c>
      <c r="Q73" s="61">
        <v>38</v>
      </c>
      <c r="S73" s="62" t="s">
        <v>74</v>
      </c>
      <c r="T73" s="42">
        <v>4</v>
      </c>
      <c r="U73" s="42">
        <v>3</v>
      </c>
      <c r="V73" s="42">
        <v>4</v>
      </c>
      <c r="W73" s="42">
        <v>5</v>
      </c>
      <c r="X73" s="42">
        <v>4</v>
      </c>
      <c r="Y73" s="42">
        <v>3</v>
      </c>
      <c r="Z73" s="42">
        <v>4</v>
      </c>
      <c r="AA73" s="42">
        <v>5</v>
      </c>
      <c r="AB73" s="42">
        <v>4</v>
      </c>
      <c r="AC73" s="55">
        <v>36</v>
      </c>
      <c r="AD73" s="40"/>
      <c r="AE73" s="2"/>
      <c r="AH73" s="2"/>
    </row>
    <row r="74" spans="1:35" x14ac:dyDescent="0.4">
      <c r="A74" s="63" t="s">
        <v>99</v>
      </c>
      <c r="B74" s="68">
        <v>1</v>
      </c>
      <c r="C74" s="69">
        <v>1</v>
      </c>
      <c r="D74" s="68" t="s">
        <v>13</v>
      </c>
      <c r="E74" s="69"/>
      <c r="F74" s="69"/>
      <c r="G74" s="68" t="s">
        <v>89</v>
      </c>
      <c r="H74" s="69">
        <v>5</v>
      </c>
      <c r="I74" s="69">
        <v>3</v>
      </c>
      <c r="J74" s="69">
        <v>4</v>
      </c>
      <c r="K74" s="69">
        <v>6</v>
      </c>
      <c r="L74" s="69">
        <v>7</v>
      </c>
      <c r="M74" s="69">
        <v>4</v>
      </c>
      <c r="N74" s="69">
        <v>4</v>
      </c>
      <c r="O74" s="69">
        <v>7</v>
      </c>
      <c r="P74" s="69">
        <v>5</v>
      </c>
      <c r="Q74" s="70">
        <v>45</v>
      </c>
      <c r="S74" s="65" t="s">
        <v>90</v>
      </c>
      <c r="T74" s="51">
        <v>5</v>
      </c>
      <c r="U74" s="51">
        <v>3</v>
      </c>
      <c r="V74" s="51">
        <v>4</v>
      </c>
      <c r="W74" s="51">
        <v>6</v>
      </c>
      <c r="X74" s="51">
        <v>7</v>
      </c>
      <c r="Y74" s="51">
        <v>4</v>
      </c>
      <c r="Z74" s="51">
        <v>4</v>
      </c>
      <c r="AA74" s="51">
        <v>7</v>
      </c>
      <c r="AB74" s="51">
        <v>5</v>
      </c>
      <c r="AC74" s="61">
        <v>45</v>
      </c>
      <c r="AD74" s="40"/>
      <c r="AE74" s="2"/>
      <c r="AH74" s="2"/>
    </row>
    <row r="75" spans="1:35" ht="15" thickBot="1" x14ac:dyDescent="0.45">
      <c r="A75" s="53"/>
      <c r="B75" s="54"/>
      <c r="C75" s="54"/>
      <c r="D75" s="54"/>
      <c r="E75" s="54"/>
      <c r="F75" s="54"/>
      <c r="G75" s="42" t="s">
        <v>91</v>
      </c>
      <c r="H75" s="42">
        <v>1</v>
      </c>
      <c r="I75" s="42">
        <v>1</v>
      </c>
      <c r="J75" s="42">
        <v>0</v>
      </c>
      <c r="K75" s="42">
        <v>0</v>
      </c>
      <c r="L75" s="42">
        <v>1</v>
      </c>
      <c r="M75" s="42">
        <v>0</v>
      </c>
      <c r="N75" s="42">
        <v>1</v>
      </c>
      <c r="O75" s="42">
        <v>0</v>
      </c>
      <c r="P75" s="42">
        <v>0</v>
      </c>
      <c r="Q75" s="55">
        <v>4</v>
      </c>
      <c r="S75" s="71" t="s">
        <v>92</v>
      </c>
      <c r="T75" s="71">
        <v>1</v>
      </c>
      <c r="U75" s="71">
        <v>3</v>
      </c>
      <c r="V75" s="71">
        <v>1</v>
      </c>
      <c r="W75" s="71">
        <v>0</v>
      </c>
      <c r="X75" s="71">
        <v>-1</v>
      </c>
      <c r="Y75" s="71">
        <v>0</v>
      </c>
      <c r="Z75" s="71">
        <v>3</v>
      </c>
      <c r="AA75" s="71">
        <v>-1</v>
      </c>
      <c r="AB75" s="71">
        <v>0</v>
      </c>
      <c r="AC75" s="70">
        <v>6</v>
      </c>
      <c r="AD75" s="40"/>
      <c r="AE75" s="2"/>
      <c r="AH75" s="2"/>
    </row>
    <row r="76" spans="1:35" ht="15" thickBot="1" x14ac:dyDescent="0.45">
      <c r="A76" s="72"/>
      <c r="B76" s="73"/>
      <c r="C76" s="73"/>
      <c r="D76" s="73"/>
      <c r="E76" s="73"/>
      <c r="F76" s="73"/>
      <c r="G76" s="74" t="s">
        <v>93</v>
      </c>
      <c r="H76" s="60">
        <v>4</v>
      </c>
      <c r="I76" s="60">
        <v>2</v>
      </c>
      <c r="J76" s="60">
        <v>4</v>
      </c>
      <c r="K76" s="60">
        <v>6</v>
      </c>
      <c r="L76" s="60">
        <v>6</v>
      </c>
      <c r="M76" s="60">
        <v>4</v>
      </c>
      <c r="N76" s="60">
        <v>3</v>
      </c>
      <c r="O76" s="60">
        <v>7</v>
      </c>
      <c r="P76" s="60">
        <v>5</v>
      </c>
      <c r="Q76" s="75">
        <v>41</v>
      </c>
      <c r="S76" s="27" t="s">
        <v>74</v>
      </c>
      <c r="T76" s="76">
        <v>4</v>
      </c>
      <c r="U76" s="76">
        <v>3</v>
      </c>
      <c r="V76" s="76">
        <v>4</v>
      </c>
      <c r="W76" s="76">
        <v>5</v>
      </c>
      <c r="X76" s="76">
        <v>4</v>
      </c>
      <c r="Y76" s="76">
        <v>3</v>
      </c>
      <c r="Z76" s="76">
        <v>4</v>
      </c>
      <c r="AA76" s="76">
        <v>5</v>
      </c>
      <c r="AB76" s="76">
        <v>4</v>
      </c>
      <c r="AC76" s="77">
        <v>36</v>
      </c>
      <c r="AD76" s="40">
        <v>1</v>
      </c>
      <c r="AE76" s="78">
        <v>13</v>
      </c>
      <c r="AF76" s="78">
        <v>4</v>
      </c>
      <c r="AG76" s="78">
        <v>4</v>
      </c>
      <c r="AH76" s="79">
        <v>0</v>
      </c>
      <c r="AI76" s="79">
        <v>8</v>
      </c>
    </row>
    <row r="77" spans="1:35" ht="15" thickBo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40"/>
      <c r="AE77" s="2"/>
      <c r="AH77" s="2"/>
    </row>
    <row r="78" spans="1:35" ht="15" thickBot="1" x14ac:dyDescent="0.45">
      <c r="A78" s="42" t="s">
        <v>82</v>
      </c>
      <c r="B78" s="42" t="s">
        <v>0</v>
      </c>
      <c r="C78" s="42" t="s">
        <v>6</v>
      </c>
      <c r="D78" s="42" t="s">
        <v>84</v>
      </c>
      <c r="E78" s="42" t="s">
        <v>85</v>
      </c>
      <c r="F78" s="42" t="s">
        <v>86</v>
      </c>
      <c r="G78" s="42"/>
      <c r="H78" s="42">
        <v>1</v>
      </c>
      <c r="I78" s="42">
        <v>2</v>
      </c>
      <c r="J78" s="42">
        <v>3</v>
      </c>
      <c r="K78" s="42">
        <v>4</v>
      </c>
      <c r="L78" s="42">
        <v>5</v>
      </c>
      <c r="M78" s="42">
        <v>6</v>
      </c>
      <c r="N78" s="42">
        <v>7</v>
      </c>
      <c r="O78" s="42">
        <v>8</v>
      </c>
      <c r="P78" s="42">
        <v>9</v>
      </c>
      <c r="Q78" s="42" t="s">
        <v>87</v>
      </c>
      <c r="S78" s="43" t="s">
        <v>88</v>
      </c>
      <c r="T78" s="44">
        <v>1</v>
      </c>
      <c r="U78" s="44">
        <v>2</v>
      </c>
      <c r="V78" s="44">
        <v>3</v>
      </c>
      <c r="W78" s="44">
        <v>4</v>
      </c>
      <c r="X78" s="44">
        <v>5</v>
      </c>
      <c r="Y78" s="44">
        <v>6</v>
      </c>
      <c r="Z78" s="44">
        <v>7</v>
      </c>
      <c r="AA78" s="44">
        <v>8</v>
      </c>
      <c r="AB78" s="44">
        <v>9</v>
      </c>
      <c r="AC78" s="45" t="s">
        <v>4</v>
      </c>
      <c r="AD78" s="40"/>
      <c r="AE78" s="2"/>
      <c r="AH78" s="2"/>
    </row>
    <row r="79" spans="1:35" x14ac:dyDescent="0.4">
      <c r="A79" s="46">
        <v>6</v>
      </c>
      <c r="B79" s="47">
        <v>9</v>
      </c>
      <c r="C79" s="48">
        <v>17</v>
      </c>
      <c r="D79" s="47" t="s">
        <v>25</v>
      </c>
      <c r="E79" s="48"/>
      <c r="F79" s="48"/>
      <c r="G79" s="47" t="s">
        <v>89</v>
      </c>
      <c r="H79" s="48">
        <v>6</v>
      </c>
      <c r="I79" s="48">
        <v>6</v>
      </c>
      <c r="J79" s="48">
        <v>5</v>
      </c>
      <c r="K79" s="48">
        <v>5</v>
      </c>
      <c r="L79" s="48">
        <v>5</v>
      </c>
      <c r="M79" s="48">
        <v>4</v>
      </c>
      <c r="N79" s="48">
        <v>5</v>
      </c>
      <c r="O79" s="48">
        <v>6</v>
      </c>
      <c r="P79" s="48">
        <v>6</v>
      </c>
      <c r="Q79" s="49">
        <v>48</v>
      </c>
      <c r="S79" s="50" t="s">
        <v>90</v>
      </c>
      <c r="T79" s="51">
        <v>6</v>
      </c>
      <c r="U79" s="51">
        <v>6</v>
      </c>
      <c r="V79" s="51">
        <v>5</v>
      </c>
      <c r="W79" s="51">
        <v>5</v>
      </c>
      <c r="X79" s="51">
        <v>5</v>
      </c>
      <c r="Y79" s="51">
        <v>4</v>
      </c>
      <c r="Z79" s="51">
        <v>5</v>
      </c>
      <c r="AA79" s="51">
        <v>6</v>
      </c>
      <c r="AB79" s="51">
        <v>6</v>
      </c>
      <c r="AC79" s="52">
        <v>48</v>
      </c>
      <c r="AD79" s="40"/>
      <c r="AE79" s="2"/>
      <c r="AH79" s="2"/>
    </row>
    <row r="80" spans="1:35" x14ac:dyDescent="0.4">
      <c r="A80" s="53"/>
      <c r="B80" s="54"/>
      <c r="C80" s="54"/>
      <c r="D80" s="54"/>
      <c r="E80" s="54"/>
      <c r="F80" s="54"/>
      <c r="G80" s="42" t="s">
        <v>91</v>
      </c>
      <c r="H80" s="42">
        <v>1</v>
      </c>
      <c r="I80" s="42">
        <v>1</v>
      </c>
      <c r="J80" s="42">
        <v>0</v>
      </c>
      <c r="K80" s="42">
        <v>0</v>
      </c>
      <c r="L80" s="42">
        <v>1</v>
      </c>
      <c r="M80" s="42">
        <v>0</v>
      </c>
      <c r="N80" s="42">
        <v>1</v>
      </c>
      <c r="O80" s="42">
        <v>1</v>
      </c>
      <c r="P80" s="42">
        <v>1</v>
      </c>
      <c r="Q80" s="55">
        <v>6</v>
      </c>
      <c r="S80" s="56" t="s">
        <v>92</v>
      </c>
      <c r="T80" s="57">
        <v>0</v>
      </c>
      <c r="U80" s="57">
        <v>-1</v>
      </c>
      <c r="V80" s="57">
        <v>0</v>
      </c>
      <c r="W80" s="57">
        <v>1</v>
      </c>
      <c r="X80" s="57">
        <v>1</v>
      </c>
      <c r="Y80" s="57">
        <v>0</v>
      </c>
      <c r="Z80" s="57">
        <v>1</v>
      </c>
      <c r="AA80" s="57">
        <v>1</v>
      </c>
      <c r="AB80" s="57">
        <v>0</v>
      </c>
      <c r="AC80" s="58">
        <v>3</v>
      </c>
      <c r="AD80" s="40"/>
      <c r="AE80" s="2"/>
      <c r="AH80" s="2"/>
    </row>
    <row r="81" spans="1:35" ht="15" thickBot="1" x14ac:dyDescent="0.45">
      <c r="A81" s="53"/>
      <c r="B81" s="54"/>
      <c r="C81" s="54"/>
      <c r="D81" s="54"/>
      <c r="E81" s="54"/>
      <c r="F81" s="54"/>
      <c r="G81" s="59" t="s">
        <v>93</v>
      </c>
      <c r="H81" s="60">
        <v>5</v>
      </c>
      <c r="I81" s="60">
        <v>5</v>
      </c>
      <c r="J81" s="60">
        <v>5</v>
      </c>
      <c r="K81" s="60">
        <v>5</v>
      </c>
      <c r="L81" s="60">
        <v>4</v>
      </c>
      <c r="M81" s="60">
        <v>4</v>
      </c>
      <c r="N81" s="60">
        <v>4</v>
      </c>
      <c r="O81" s="60">
        <v>5</v>
      </c>
      <c r="P81" s="60">
        <v>5</v>
      </c>
      <c r="Q81" s="61">
        <v>42</v>
      </c>
      <c r="S81" s="62" t="s">
        <v>74</v>
      </c>
      <c r="T81" s="42">
        <v>4</v>
      </c>
      <c r="U81" s="42">
        <v>3</v>
      </c>
      <c r="V81" s="42">
        <v>4</v>
      </c>
      <c r="W81" s="42">
        <v>5</v>
      </c>
      <c r="X81" s="42">
        <v>4</v>
      </c>
      <c r="Y81" s="42">
        <v>3</v>
      </c>
      <c r="Z81" s="42">
        <v>4</v>
      </c>
      <c r="AA81" s="42">
        <v>5</v>
      </c>
      <c r="AB81" s="42">
        <v>4</v>
      </c>
      <c r="AC81" s="55">
        <v>36</v>
      </c>
      <c r="AD81" s="40"/>
      <c r="AE81" s="2"/>
      <c r="AH81" s="2"/>
    </row>
    <row r="82" spans="1:35" x14ac:dyDescent="0.4">
      <c r="A82" s="63" t="s">
        <v>74</v>
      </c>
      <c r="B82" s="57">
        <v>9</v>
      </c>
      <c r="C82" s="64">
        <v>18</v>
      </c>
      <c r="D82" s="47" t="s">
        <v>26</v>
      </c>
      <c r="E82" s="64"/>
      <c r="F82" s="64"/>
      <c r="G82" s="57" t="s">
        <v>89</v>
      </c>
      <c r="H82" s="64">
        <v>6</v>
      </c>
      <c r="I82" s="64">
        <v>6</v>
      </c>
      <c r="J82" s="64">
        <v>5</v>
      </c>
      <c r="K82" s="64">
        <v>6</v>
      </c>
      <c r="L82" s="64">
        <v>8</v>
      </c>
      <c r="M82" s="64">
        <v>5</v>
      </c>
      <c r="N82" s="64">
        <v>6</v>
      </c>
      <c r="O82" s="64">
        <v>5</v>
      </c>
      <c r="P82" s="64">
        <v>6</v>
      </c>
      <c r="Q82" s="49">
        <v>53</v>
      </c>
      <c r="S82" s="65" t="s">
        <v>90</v>
      </c>
      <c r="T82" s="51">
        <v>6</v>
      </c>
      <c r="U82" s="51">
        <v>6</v>
      </c>
      <c r="V82" s="51">
        <v>5</v>
      </c>
      <c r="W82" s="51">
        <v>6</v>
      </c>
      <c r="X82" s="51">
        <v>7</v>
      </c>
      <c r="Y82" s="51">
        <v>5</v>
      </c>
      <c r="Z82" s="51">
        <v>6</v>
      </c>
      <c r="AA82" s="51">
        <v>5</v>
      </c>
      <c r="AB82" s="51">
        <v>6</v>
      </c>
      <c r="AC82" s="61">
        <v>52</v>
      </c>
      <c r="AD82" s="40"/>
      <c r="AE82" s="2"/>
      <c r="AH82" s="2"/>
    </row>
    <row r="83" spans="1:35" ht="15" thickBot="1" x14ac:dyDescent="0.45">
      <c r="A83" s="53"/>
      <c r="B83" s="54"/>
      <c r="C83" s="54"/>
      <c r="D83" s="54"/>
      <c r="E83" s="54"/>
      <c r="F83" s="54"/>
      <c r="G83" s="42" t="s">
        <v>91</v>
      </c>
      <c r="H83" s="42">
        <v>1</v>
      </c>
      <c r="I83" s="81">
        <v>1</v>
      </c>
      <c r="J83" s="42">
        <v>1</v>
      </c>
      <c r="K83" s="42">
        <v>0</v>
      </c>
      <c r="L83" s="42">
        <v>1</v>
      </c>
      <c r="M83" s="42">
        <v>0</v>
      </c>
      <c r="N83" s="42">
        <v>1</v>
      </c>
      <c r="O83" s="42">
        <v>1</v>
      </c>
      <c r="P83" s="42">
        <v>1</v>
      </c>
      <c r="Q83" s="55">
        <v>7</v>
      </c>
      <c r="S83" s="56" t="s">
        <v>92</v>
      </c>
      <c r="T83" s="57">
        <v>0</v>
      </c>
      <c r="U83" s="57">
        <v>-1</v>
      </c>
      <c r="V83" s="57">
        <v>1</v>
      </c>
      <c r="W83" s="57">
        <v>0</v>
      </c>
      <c r="X83" s="57">
        <v>-1</v>
      </c>
      <c r="Y83" s="57">
        <v>-1</v>
      </c>
      <c r="Z83" s="57">
        <v>0</v>
      </c>
      <c r="AA83" s="57">
        <v>3</v>
      </c>
      <c r="AB83" s="57">
        <v>0</v>
      </c>
      <c r="AC83" s="58">
        <v>1</v>
      </c>
      <c r="AD83" s="40"/>
      <c r="AE83" s="2"/>
      <c r="AH83" s="2"/>
    </row>
    <row r="84" spans="1:35" ht="15" thickBot="1" x14ac:dyDescent="0.45">
      <c r="A84" s="53"/>
      <c r="B84" s="54"/>
      <c r="C84" s="54"/>
      <c r="D84" s="54"/>
      <c r="E84" s="54"/>
      <c r="F84" s="54"/>
      <c r="G84" s="59" t="s">
        <v>93</v>
      </c>
      <c r="H84" s="60">
        <v>5</v>
      </c>
      <c r="I84" s="60">
        <v>5</v>
      </c>
      <c r="J84" s="60">
        <v>4</v>
      </c>
      <c r="K84" s="60">
        <v>6</v>
      </c>
      <c r="L84" s="60">
        <v>7</v>
      </c>
      <c r="M84" s="60">
        <v>5</v>
      </c>
      <c r="N84" s="60">
        <v>5</v>
      </c>
      <c r="O84" s="60">
        <v>4</v>
      </c>
      <c r="P84" s="60">
        <v>5</v>
      </c>
      <c r="Q84" s="61">
        <v>46</v>
      </c>
      <c r="S84" s="62" t="s">
        <v>74</v>
      </c>
      <c r="T84" s="42">
        <v>4</v>
      </c>
      <c r="U84" s="42">
        <v>3</v>
      </c>
      <c r="V84" s="42">
        <v>4</v>
      </c>
      <c r="W84" s="42">
        <v>5</v>
      </c>
      <c r="X84" s="42">
        <v>4</v>
      </c>
      <c r="Y84" s="42">
        <v>3</v>
      </c>
      <c r="Z84" s="42">
        <v>4</v>
      </c>
      <c r="AA84" s="42">
        <v>5</v>
      </c>
      <c r="AB84" s="42">
        <v>4</v>
      </c>
      <c r="AC84" s="55">
        <v>36</v>
      </c>
      <c r="AD84" s="40">
        <v>9</v>
      </c>
      <c r="AE84" s="80">
        <v>4</v>
      </c>
      <c r="AF84" s="66">
        <v>0</v>
      </c>
      <c r="AG84" s="66">
        <v>0</v>
      </c>
      <c r="AH84" s="67">
        <v>0</v>
      </c>
      <c r="AI84" s="67">
        <v>0</v>
      </c>
    </row>
    <row r="85" spans="1:35" x14ac:dyDescent="0.4">
      <c r="A85" s="63" t="s">
        <v>94</v>
      </c>
      <c r="B85" s="68">
        <v>12</v>
      </c>
      <c r="C85" s="69">
        <v>24</v>
      </c>
      <c r="D85" s="68" t="s">
        <v>12</v>
      </c>
      <c r="E85" s="69"/>
      <c r="F85" s="69"/>
      <c r="G85" s="68" t="s">
        <v>89</v>
      </c>
      <c r="H85" s="69">
        <v>4</v>
      </c>
      <c r="I85" s="69">
        <v>3</v>
      </c>
      <c r="J85" s="69">
        <v>4</v>
      </c>
      <c r="K85" s="69">
        <v>6</v>
      </c>
      <c r="L85" s="69">
        <v>5</v>
      </c>
      <c r="M85" s="69">
        <v>4</v>
      </c>
      <c r="N85" s="69">
        <v>4</v>
      </c>
      <c r="O85" s="69">
        <v>6</v>
      </c>
      <c r="P85" s="69">
        <v>4</v>
      </c>
      <c r="Q85" s="70">
        <v>40</v>
      </c>
      <c r="S85" s="65" t="s">
        <v>90</v>
      </c>
      <c r="T85" s="51">
        <v>4</v>
      </c>
      <c r="U85" s="51">
        <v>3</v>
      </c>
      <c r="V85" s="51">
        <v>4</v>
      </c>
      <c r="W85" s="51">
        <v>6</v>
      </c>
      <c r="X85" s="51">
        <v>5</v>
      </c>
      <c r="Y85" s="51">
        <v>4</v>
      </c>
      <c r="Z85" s="51">
        <v>4</v>
      </c>
      <c r="AA85" s="51">
        <v>6</v>
      </c>
      <c r="AB85" s="51">
        <v>4</v>
      </c>
      <c r="AC85" s="61">
        <v>40</v>
      </c>
      <c r="AD85" s="40"/>
      <c r="AE85" s="2"/>
      <c r="AH85" s="2"/>
    </row>
    <row r="86" spans="1:35" x14ac:dyDescent="0.4">
      <c r="A86" s="53"/>
      <c r="B86" s="54"/>
      <c r="C86" s="54"/>
      <c r="D86" s="54"/>
      <c r="E86" s="54"/>
      <c r="F86" s="54"/>
      <c r="G86" s="42" t="s">
        <v>91</v>
      </c>
      <c r="H86" s="42">
        <v>1</v>
      </c>
      <c r="I86" s="42">
        <v>1</v>
      </c>
      <c r="J86" s="42">
        <v>0</v>
      </c>
      <c r="K86" s="42">
        <v>0</v>
      </c>
      <c r="L86" s="42">
        <v>1</v>
      </c>
      <c r="M86" s="42">
        <v>0</v>
      </c>
      <c r="N86" s="42">
        <v>1</v>
      </c>
      <c r="O86" s="42">
        <v>0</v>
      </c>
      <c r="P86" s="42">
        <v>1</v>
      </c>
      <c r="Q86" s="55">
        <v>5</v>
      </c>
      <c r="S86" s="71" t="s">
        <v>92</v>
      </c>
      <c r="T86" s="71">
        <v>3</v>
      </c>
      <c r="U86" s="71">
        <v>3</v>
      </c>
      <c r="V86" s="71">
        <v>1</v>
      </c>
      <c r="W86" s="71">
        <v>0</v>
      </c>
      <c r="X86" s="71">
        <v>1</v>
      </c>
      <c r="Y86" s="71">
        <v>0</v>
      </c>
      <c r="Z86" s="71">
        <v>3</v>
      </c>
      <c r="AA86" s="71">
        <v>0</v>
      </c>
      <c r="AB86" s="71">
        <v>3</v>
      </c>
      <c r="AC86" s="70">
        <v>14</v>
      </c>
      <c r="AD86" s="40"/>
      <c r="AE86" s="2"/>
      <c r="AH86" s="2"/>
    </row>
    <row r="87" spans="1:35" x14ac:dyDescent="0.4">
      <c r="A87" s="53"/>
      <c r="B87" s="54"/>
      <c r="C87" s="54"/>
      <c r="D87" s="54"/>
      <c r="E87" s="54"/>
      <c r="F87" s="54"/>
      <c r="G87" s="59" t="s">
        <v>93</v>
      </c>
      <c r="H87" s="60">
        <v>3</v>
      </c>
      <c r="I87" s="60">
        <v>2</v>
      </c>
      <c r="J87" s="60">
        <v>4</v>
      </c>
      <c r="K87" s="60">
        <v>6</v>
      </c>
      <c r="L87" s="60">
        <v>4</v>
      </c>
      <c r="M87" s="60">
        <v>4</v>
      </c>
      <c r="N87" s="60">
        <v>3</v>
      </c>
      <c r="O87" s="60">
        <v>6</v>
      </c>
      <c r="P87" s="60">
        <v>3</v>
      </c>
      <c r="Q87" s="61">
        <v>35</v>
      </c>
      <c r="S87" s="62" t="s">
        <v>74</v>
      </c>
      <c r="T87" s="42">
        <v>4</v>
      </c>
      <c r="U87" s="42">
        <v>3</v>
      </c>
      <c r="V87" s="42">
        <v>4</v>
      </c>
      <c r="W87" s="42">
        <v>5</v>
      </c>
      <c r="X87" s="42">
        <v>4</v>
      </c>
      <c r="Y87" s="42">
        <v>3</v>
      </c>
      <c r="Z87" s="42">
        <v>4</v>
      </c>
      <c r="AA87" s="42">
        <v>5</v>
      </c>
      <c r="AB87" s="42">
        <v>4</v>
      </c>
      <c r="AC87" s="55">
        <v>36</v>
      </c>
      <c r="AD87" s="40"/>
      <c r="AE87" s="2"/>
      <c r="AH87" s="2"/>
    </row>
    <row r="88" spans="1:35" x14ac:dyDescent="0.4">
      <c r="A88" s="63" t="s">
        <v>100</v>
      </c>
      <c r="B88" s="68">
        <v>12</v>
      </c>
      <c r="C88" s="69">
        <v>23</v>
      </c>
      <c r="D88" s="68" t="s">
        <v>11</v>
      </c>
      <c r="E88" s="69"/>
      <c r="F88" s="69"/>
      <c r="G88" s="68" t="s">
        <v>89</v>
      </c>
      <c r="H88" s="69">
        <v>4</v>
      </c>
      <c r="I88" s="69">
        <v>4</v>
      </c>
      <c r="J88" s="69">
        <v>6</v>
      </c>
      <c r="K88" s="69">
        <v>8</v>
      </c>
      <c r="L88" s="69">
        <v>6</v>
      </c>
      <c r="M88" s="69">
        <v>4</v>
      </c>
      <c r="N88" s="69">
        <v>8</v>
      </c>
      <c r="O88" s="69">
        <v>7</v>
      </c>
      <c r="P88" s="69">
        <v>7</v>
      </c>
      <c r="Q88" s="70">
        <v>54</v>
      </c>
      <c r="S88" s="65" t="s">
        <v>90</v>
      </c>
      <c r="T88" s="51">
        <v>4</v>
      </c>
      <c r="U88" s="51">
        <v>4</v>
      </c>
      <c r="V88" s="51">
        <v>6</v>
      </c>
      <c r="W88" s="51">
        <v>8</v>
      </c>
      <c r="X88" s="51">
        <v>6</v>
      </c>
      <c r="Y88" s="51">
        <v>4</v>
      </c>
      <c r="Z88" s="51">
        <v>8</v>
      </c>
      <c r="AA88" s="51">
        <v>7</v>
      </c>
      <c r="AB88" s="51">
        <v>7</v>
      </c>
      <c r="AC88" s="61">
        <v>54</v>
      </c>
      <c r="AD88" s="40"/>
      <c r="AE88" s="2"/>
      <c r="AH88" s="2"/>
    </row>
    <row r="89" spans="1:35" ht="15" thickBot="1" x14ac:dyDescent="0.45">
      <c r="A89" s="53"/>
      <c r="B89" s="54"/>
      <c r="C89" s="54"/>
      <c r="D89" s="54"/>
      <c r="E89" s="54"/>
      <c r="F89" s="54"/>
      <c r="G89" s="42" t="s">
        <v>91</v>
      </c>
      <c r="H89" s="42">
        <v>2</v>
      </c>
      <c r="I89" s="42">
        <v>2</v>
      </c>
      <c r="J89" s="42">
        <v>1</v>
      </c>
      <c r="K89" s="42">
        <v>1</v>
      </c>
      <c r="L89" s="42">
        <v>2</v>
      </c>
      <c r="M89" s="42">
        <v>1</v>
      </c>
      <c r="N89" s="42">
        <v>2</v>
      </c>
      <c r="O89" s="42">
        <v>1</v>
      </c>
      <c r="P89" s="42">
        <v>1</v>
      </c>
      <c r="Q89" s="55">
        <v>13</v>
      </c>
      <c r="S89" s="71" t="s">
        <v>92</v>
      </c>
      <c r="T89" s="71">
        <v>4</v>
      </c>
      <c r="U89" s="71">
        <v>3</v>
      </c>
      <c r="V89" s="71">
        <v>0</v>
      </c>
      <c r="W89" s="71">
        <v>-1</v>
      </c>
      <c r="X89" s="71">
        <v>1</v>
      </c>
      <c r="Y89" s="71">
        <v>1</v>
      </c>
      <c r="Z89" s="71">
        <v>-1</v>
      </c>
      <c r="AA89" s="71">
        <v>0</v>
      </c>
      <c r="AB89" s="71">
        <v>-1</v>
      </c>
      <c r="AC89" s="70">
        <v>6</v>
      </c>
      <c r="AD89" s="40"/>
      <c r="AE89" s="2"/>
      <c r="AH89" s="2"/>
    </row>
    <row r="90" spans="1:35" ht="15" thickBot="1" x14ac:dyDescent="0.45">
      <c r="A90" s="72"/>
      <c r="B90" s="73"/>
      <c r="C90" s="73"/>
      <c r="D90" s="73"/>
      <c r="E90" s="73"/>
      <c r="F90" s="73"/>
      <c r="G90" s="74" t="s">
        <v>93</v>
      </c>
      <c r="H90" s="60">
        <v>2</v>
      </c>
      <c r="I90" s="60">
        <v>2</v>
      </c>
      <c r="J90" s="60">
        <v>5</v>
      </c>
      <c r="K90" s="60">
        <v>7</v>
      </c>
      <c r="L90" s="60">
        <v>4</v>
      </c>
      <c r="M90" s="60">
        <v>3</v>
      </c>
      <c r="N90" s="60">
        <v>6</v>
      </c>
      <c r="O90" s="60">
        <v>6</v>
      </c>
      <c r="P90" s="60">
        <v>6</v>
      </c>
      <c r="Q90" s="75">
        <v>41</v>
      </c>
      <c r="S90" s="27" t="s">
        <v>74</v>
      </c>
      <c r="T90" s="76">
        <v>4</v>
      </c>
      <c r="U90" s="76">
        <v>3</v>
      </c>
      <c r="V90" s="76">
        <v>4</v>
      </c>
      <c r="W90" s="76">
        <v>5</v>
      </c>
      <c r="X90" s="76">
        <v>4</v>
      </c>
      <c r="Y90" s="76">
        <v>3</v>
      </c>
      <c r="Z90" s="76">
        <v>4</v>
      </c>
      <c r="AA90" s="76">
        <v>5</v>
      </c>
      <c r="AB90" s="76">
        <v>4</v>
      </c>
      <c r="AC90" s="77">
        <v>36</v>
      </c>
      <c r="AD90" s="40">
        <v>12</v>
      </c>
      <c r="AE90" s="78">
        <v>20</v>
      </c>
      <c r="AF90" s="78">
        <v>4</v>
      </c>
      <c r="AG90" s="78">
        <v>4</v>
      </c>
      <c r="AH90" s="79">
        <v>6</v>
      </c>
      <c r="AI90" s="79">
        <v>14</v>
      </c>
    </row>
    <row r="91" spans="1:35" ht="15" thickBo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40"/>
      <c r="AE91" s="2"/>
      <c r="AH91" s="2"/>
    </row>
    <row r="92" spans="1:35" ht="15" thickBot="1" x14ac:dyDescent="0.45">
      <c r="A92" s="42" t="s">
        <v>82</v>
      </c>
      <c r="B92" s="42" t="s">
        <v>0</v>
      </c>
      <c r="C92" s="42" t="s">
        <v>6</v>
      </c>
      <c r="D92" s="42" t="s">
        <v>84</v>
      </c>
      <c r="E92" s="42" t="s">
        <v>85</v>
      </c>
      <c r="F92" s="42" t="s">
        <v>86</v>
      </c>
      <c r="G92" s="42"/>
      <c r="H92" s="42">
        <v>1</v>
      </c>
      <c r="I92" s="42">
        <v>2</v>
      </c>
      <c r="J92" s="42">
        <v>3</v>
      </c>
      <c r="K92" s="42">
        <v>4</v>
      </c>
      <c r="L92" s="42">
        <v>5</v>
      </c>
      <c r="M92" s="42">
        <v>6</v>
      </c>
      <c r="N92" s="42">
        <v>7</v>
      </c>
      <c r="O92" s="42">
        <v>8</v>
      </c>
      <c r="P92" s="42">
        <v>9</v>
      </c>
      <c r="Q92" s="42" t="s">
        <v>87</v>
      </c>
      <c r="S92" s="43" t="s">
        <v>88</v>
      </c>
      <c r="T92" s="44">
        <v>1</v>
      </c>
      <c r="U92" s="44">
        <v>2</v>
      </c>
      <c r="V92" s="44">
        <v>3</v>
      </c>
      <c r="W92" s="44">
        <v>4</v>
      </c>
      <c r="X92" s="44">
        <v>5</v>
      </c>
      <c r="Y92" s="44">
        <v>6</v>
      </c>
      <c r="Z92" s="44">
        <v>7</v>
      </c>
      <c r="AA92" s="44">
        <v>8</v>
      </c>
      <c r="AB92" s="44">
        <v>9</v>
      </c>
      <c r="AC92" s="45" t="s">
        <v>4</v>
      </c>
      <c r="AD92" s="40"/>
      <c r="AE92" s="2"/>
      <c r="AH92" s="2"/>
    </row>
    <row r="93" spans="1:35" x14ac:dyDescent="0.4">
      <c r="A93" s="46">
        <v>2</v>
      </c>
      <c r="B93" s="47">
        <v>11</v>
      </c>
      <c r="C93" s="48">
        <v>21</v>
      </c>
      <c r="D93" s="47" t="s">
        <v>9</v>
      </c>
      <c r="E93" s="48"/>
      <c r="F93" s="48"/>
      <c r="G93" s="47" t="s">
        <v>89</v>
      </c>
      <c r="H93" s="48">
        <v>5</v>
      </c>
      <c r="I93" s="48">
        <v>6</v>
      </c>
      <c r="J93" s="48">
        <v>5</v>
      </c>
      <c r="K93" s="48">
        <v>8</v>
      </c>
      <c r="L93" s="48">
        <v>5</v>
      </c>
      <c r="M93" s="48">
        <v>3</v>
      </c>
      <c r="N93" s="48">
        <v>4</v>
      </c>
      <c r="O93" s="48">
        <v>6</v>
      </c>
      <c r="P93" s="48">
        <v>6</v>
      </c>
      <c r="Q93" s="49">
        <v>48</v>
      </c>
      <c r="S93" s="50" t="s">
        <v>90</v>
      </c>
      <c r="T93" s="51">
        <v>5</v>
      </c>
      <c r="U93" s="51">
        <v>6</v>
      </c>
      <c r="V93" s="51">
        <v>5</v>
      </c>
      <c r="W93" s="51">
        <v>8</v>
      </c>
      <c r="X93" s="51">
        <v>5</v>
      </c>
      <c r="Y93" s="51">
        <v>3</v>
      </c>
      <c r="Z93" s="51">
        <v>4</v>
      </c>
      <c r="AA93" s="51">
        <v>6</v>
      </c>
      <c r="AB93" s="51">
        <v>6</v>
      </c>
      <c r="AC93" s="52">
        <v>48</v>
      </c>
      <c r="AD93" s="40"/>
      <c r="AE93" s="2"/>
      <c r="AH93" s="2"/>
    </row>
    <row r="94" spans="1:35" x14ac:dyDescent="0.4">
      <c r="A94" s="53"/>
      <c r="B94" s="54"/>
      <c r="C94" s="54"/>
      <c r="D94" s="54"/>
      <c r="E94" s="54"/>
      <c r="F94" s="54"/>
      <c r="G94" s="42" t="s">
        <v>91</v>
      </c>
      <c r="H94" s="42">
        <v>2</v>
      </c>
      <c r="I94" s="42">
        <v>2</v>
      </c>
      <c r="J94" s="42">
        <v>1</v>
      </c>
      <c r="K94" s="42">
        <v>1</v>
      </c>
      <c r="L94" s="42">
        <v>2</v>
      </c>
      <c r="M94" s="42">
        <v>1</v>
      </c>
      <c r="N94" s="42">
        <v>2</v>
      </c>
      <c r="O94" s="42">
        <v>1</v>
      </c>
      <c r="P94" s="42">
        <v>1</v>
      </c>
      <c r="Q94" s="55">
        <v>13</v>
      </c>
      <c r="S94" s="56" t="s">
        <v>92</v>
      </c>
      <c r="T94" s="57">
        <v>3</v>
      </c>
      <c r="U94" s="57">
        <v>0</v>
      </c>
      <c r="V94" s="57">
        <v>1</v>
      </c>
      <c r="W94" s="57">
        <v>-1</v>
      </c>
      <c r="X94" s="57">
        <v>3</v>
      </c>
      <c r="Y94" s="57">
        <v>3</v>
      </c>
      <c r="Z94" s="57">
        <v>4</v>
      </c>
      <c r="AA94" s="57">
        <v>1</v>
      </c>
      <c r="AB94" s="57">
        <v>0</v>
      </c>
      <c r="AC94" s="58">
        <v>14</v>
      </c>
      <c r="AD94" s="40"/>
      <c r="AE94" s="2"/>
      <c r="AH94" s="2"/>
    </row>
    <row r="95" spans="1:35" ht="15" thickBot="1" x14ac:dyDescent="0.45">
      <c r="A95" s="53"/>
      <c r="B95" s="54"/>
      <c r="C95" s="54"/>
      <c r="D95" s="54"/>
      <c r="E95" s="54"/>
      <c r="F95" s="54"/>
      <c r="G95" s="59" t="s">
        <v>93</v>
      </c>
      <c r="H95" s="60">
        <v>3</v>
      </c>
      <c r="I95" s="60">
        <v>4</v>
      </c>
      <c r="J95" s="60">
        <v>4</v>
      </c>
      <c r="K95" s="60">
        <v>7</v>
      </c>
      <c r="L95" s="60">
        <v>3</v>
      </c>
      <c r="M95" s="60">
        <v>2</v>
      </c>
      <c r="N95" s="60">
        <v>2</v>
      </c>
      <c r="O95" s="60">
        <v>5</v>
      </c>
      <c r="P95" s="60">
        <v>5</v>
      </c>
      <c r="Q95" s="61">
        <v>35</v>
      </c>
      <c r="S95" s="62" t="s">
        <v>74</v>
      </c>
      <c r="T95" s="42">
        <v>4</v>
      </c>
      <c r="U95" s="42">
        <v>3</v>
      </c>
      <c r="V95" s="42">
        <v>4</v>
      </c>
      <c r="W95" s="42">
        <v>5</v>
      </c>
      <c r="X95" s="42">
        <v>4</v>
      </c>
      <c r="Y95" s="42">
        <v>3</v>
      </c>
      <c r="Z95" s="42">
        <v>4</v>
      </c>
      <c r="AA95" s="42">
        <v>5</v>
      </c>
      <c r="AB95" s="42">
        <v>4</v>
      </c>
      <c r="AC95" s="55">
        <v>36</v>
      </c>
      <c r="AD95" s="40"/>
      <c r="AE95" s="2"/>
      <c r="AH95" s="2"/>
    </row>
    <row r="96" spans="1:35" x14ac:dyDescent="0.4">
      <c r="A96" s="63" t="s">
        <v>74</v>
      </c>
      <c r="B96" s="57">
        <v>11</v>
      </c>
      <c r="C96" s="64">
        <v>22</v>
      </c>
      <c r="D96" s="47" t="s">
        <v>10</v>
      </c>
      <c r="E96" s="64"/>
      <c r="F96" s="64"/>
      <c r="G96" s="57" t="s">
        <v>89</v>
      </c>
      <c r="H96" s="64">
        <v>5</v>
      </c>
      <c r="I96" s="64">
        <v>6</v>
      </c>
      <c r="J96" s="64">
        <v>5</v>
      </c>
      <c r="K96" s="64">
        <v>8</v>
      </c>
      <c r="L96" s="64">
        <v>6</v>
      </c>
      <c r="M96" s="64">
        <v>6</v>
      </c>
      <c r="N96" s="64">
        <v>4</v>
      </c>
      <c r="O96" s="64">
        <v>6</v>
      </c>
      <c r="P96" s="64">
        <v>6</v>
      </c>
      <c r="Q96" s="49">
        <v>52</v>
      </c>
      <c r="S96" s="65" t="s">
        <v>90</v>
      </c>
      <c r="T96" s="51">
        <v>5</v>
      </c>
      <c r="U96" s="51">
        <v>6</v>
      </c>
      <c r="V96" s="51">
        <v>5</v>
      </c>
      <c r="W96" s="51">
        <v>8</v>
      </c>
      <c r="X96" s="51">
        <v>6</v>
      </c>
      <c r="Y96" s="51">
        <v>6</v>
      </c>
      <c r="Z96" s="51">
        <v>4</v>
      </c>
      <c r="AA96" s="51">
        <v>6</v>
      </c>
      <c r="AB96" s="51">
        <v>6</v>
      </c>
      <c r="AC96" s="61">
        <v>52</v>
      </c>
      <c r="AD96" s="40"/>
      <c r="AE96" s="2"/>
      <c r="AH96" s="2"/>
    </row>
    <row r="97" spans="1:35" ht="15" thickBot="1" x14ac:dyDescent="0.45">
      <c r="A97" s="53"/>
      <c r="B97" s="54"/>
      <c r="C97" s="54"/>
      <c r="D97" s="54"/>
      <c r="E97" s="54"/>
      <c r="F97" s="54"/>
      <c r="G97" s="42" t="s">
        <v>91</v>
      </c>
      <c r="H97" s="42">
        <v>2</v>
      </c>
      <c r="I97" s="42">
        <v>2</v>
      </c>
      <c r="J97" s="42">
        <v>2</v>
      </c>
      <c r="K97" s="42">
        <v>2</v>
      </c>
      <c r="L97" s="42">
        <v>2</v>
      </c>
      <c r="M97" s="42">
        <v>1</v>
      </c>
      <c r="N97" s="42">
        <v>2</v>
      </c>
      <c r="O97" s="42">
        <v>2</v>
      </c>
      <c r="P97" s="42">
        <v>2</v>
      </c>
      <c r="Q97" s="55">
        <v>17</v>
      </c>
      <c r="S97" s="56" t="s">
        <v>92</v>
      </c>
      <c r="T97" s="57">
        <v>3</v>
      </c>
      <c r="U97" s="57">
        <v>0</v>
      </c>
      <c r="V97" s="57">
        <v>3</v>
      </c>
      <c r="W97" s="57">
        <v>0</v>
      </c>
      <c r="X97" s="57">
        <v>1</v>
      </c>
      <c r="Y97" s="57">
        <v>-1</v>
      </c>
      <c r="Z97" s="57">
        <v>4</v>
      </c>
      <c r="AA97" s="57">
        <v>3</v>
      </c>
      <c r="AB97" s="57">
        <v>1</v>
      </c>
      <c r="AC97" s="58">
        <v>14</v>
      </c>
      <c r="AD97" s="40"/>
      <c r="AE97" s="2"/>
      <c r="AH97" s="2"/>
    </row>
    <row r="98" spans="1:35" ht="15" thickBot="1" x14ac:dyDescent="0.45">
      <c r="A98" s="53"/>
      <c r="B98" s="54"/>
      <c r="C98" s="54"/>
      <c r="D98" s="54"/>
      <c r="E98" s="54"/>
      <c r="F98" s="54"/>
      <c r="G98" s="59" t="s">
        <v>93</v>
      </c>
      <c r="H98" s="60">
        <v>3</v>
      </c>
      <c r="I98" s="60">
        <v>4</v>
      </c>
      <c r="J98" s="60">
        <v>3</v>
      </c>
      <c r="K98" s="60">
        <v>6</v>
      </c>
      <c r="L98" s="60">
        <v>4</v>
      </c>
      <c r="M98" s="60">
        <v>5</v>
      </c>
      <c r="N98" s="60">
        <v>2</v>
      </c>
      <c r="O98" s="60">
        <v>4</v>
      </c>
      <c r="P98" s="60">
        <v>4</v>
      </c>
      <c r="Q98" s="61">
        <v>35</v>
      </c>
      <c r="S98" s="62" t="s">
        <v>74</v>
      </c>
      <c r="T98" s="42">
        <v>4</v>
      </c>
      <c r="U98" s="42">
        <v>3</v>
      </c>
      <c r="V98" s="42">
        <v>4</v>
      </c>
      <c r="W98" s="42">
        <v>5</v>
      </c>
      <c r="X98" s="42">
        <v>4</v>
      </c>
      <c r="Y98" s="42">
        <v>3</v>
      </c>
      <c r="Z98" s="42">
        <v>4</v>
      </c>
      <c r="AA98" s="42">
        <v>5</v>
      </c>
      <c r="AB98" s="42">
        <v>4</v>
      </c>
      <c r="AC98" s="55">
        <v>36</v>
      </c>
      <c r="AD98" s="40">
        <v>11</v>
      </c>
      <c r="AE98" s="80">
        <v>28</v>
      </c>
      <c r="AF98" s="66">
        <v>4</v>
      </c>
      <c r="AG98" s="66">
        <v>4</v>
      </c>
      <c r="AH98" s="67">
        <v>8</v>
      </c>
      <c r="AI98" s="67">
        <v>16</v>
      </c>
    </row>
    <row r="99" spans="1:35" x14ac:dyDescent="0.4">
      <c r="A99" s="63" t="s">
        <v>94</v>
      </c>
      <c r="B99" s="68">
        <v>8</v>
      </c>
      <c r="C99" s="69">
        <v>15</v>
      </c>
      <c r="D99" s="68" t="s">
        <v>43</v>
      </c>
      <c r="E99" s="69"/>
      <c r="F99" s="69"/>
      <c r="G99" s="68" t="s">
        <v>89</v>
      </c>
      <c r="H99" s="69">
        <v>6</v>
      </c>
      <c r="I99" s="69">
        <v>6</v>
      </c>
      <c r="J99" s="69">
        <v>5</v>
      </c>
      <c r="K99" s="69">
        <v>5</v>
      </c>
      <c r="L99" s="69">
        <v>6</v>
      </c>
      <c r="M99" s="69">
        <v>4</v>
      </c>
      <c r="N99" s="69">
        <v>6</v>
      </c>
      <c r="O99" s="69">
        <v>7</v>
      </c>
      <c r="P99" s="69">
        <v>7</v>
      </c>
      <c r="Q99" s="70">
        <v>52</v>
      </c>
      <c r="S99" s="65" t="s">
        <v>90</v>
      </c>
      <c r="T99" s="51">
        <v>6</v>
      </c>
      <c r="U99" s="51">
        <v>6</v>
      </c>
      <c r="V99" s="51">
        <v>5</v>
      </c>
      <c r="W99" s="51">
        <v>5</v>
      </c>
      <c r="X99" s="51">
        <v>6</v>
      </c>
      <c r="Y99" s="51">
        <v>4</v>
      </c>
      <c r="Z99" s="51">
        <v>6</v>
      </c>
      <c r="AA99" s="51">
        <v>7</v>
      </c>
      <c r="AB99" s="51">
        <v>7</v>
      </c>
      <c r="AC99" s="61">
        <v>52</v>
      </c>
      <c r="AD99" s="40"/>
      <c r="AE99" s="2"/>
      <c r="AH99" s="2"/>
    </row>
    <row r="100" spans="1:35" x14ac:dyDescent="0.4">
      <c r="A100" s="53"/>
      <c r="B100" s="54"/>
      <c r="C100" s="54"/>
      <c r="D100" s="54"/>
      <c r="E100" s="54"/>
      <c r="F100" s="54"/>
      <c r="G100" s="42" t="s">
        <v>91</v>
      </c>
      <c r="H100" s="42">
        <v>1</v>
      </c>
      <c r="I100" s="42">
        <v>1</v>
      </c>
      <c r="J100" s="42">
        <v>1</v>
      </c>
      <c r="K100" s="42">
        <v>0</v>
      </c>
      <c r="L100" s="42">
        <v>1</v>
      </c>
      <c r="M100" s="42">
        <v>0</v>
      </c>
      <c r="N100" s="42">
        <v>1</v>
      </c>
      <c r="O100" s="42">
        <v>1</v>
      </c>
      <c r="P100" s="42">
        <v>1</v>
      </c>
      <c r="Q100" s="55">
        <v>7</v>
      </c>
      <c r="S100" s="71" t="s">
        <v>92</v>
      </c>
      <c r="T100" s="71">
        <v>0</v>
      </c>
      <c r="U100" s="71">
        <v>-1</v>
      </c>
      <c r="V100" s="71">
        <v>1</v>
      </c>
      <c r="W100" s="71">
        <v>1</v>
      </c>
      <c r="X100" s="71">
        <v>0</v>
      </c>
      <c r="Y100" s="71">
        <v>0</v>
      </c>
      <c r="Z100" s="71">
        <v>0</v>
      </c>
      <c r="AA100" s="71">
        <v>0</v>
      </c>
      <c r="AB100" s="71">
        <v>-1</v>
      </c>
      <c r="AC100" s="70">
        <v>0</v>
      </c>
      <c r="AD100" s="40"/>
      <c r="AE100" s="2"/>
      <c r="AH100" s="2"/>
    </row>
    <row r="101" spans="1:35" x14ac:dyDescent="0.4">
      <c r="A101" s="53"/>
      <c r="B101" s="54"/>
      <c r="C101" s="54"/>
      <c r="D101" s="54"/>
      <c r="E101" s="54"/>
      <c r="F101" s="54"/>
      <c r="G101" s="59" t="s">
        <v>93</v>
      </c>
      <c r="H101" s="60">
        <v>5</v>
      </c>
      <c r="I101" s="60">
        <v>5</v>
      </c>
      <c r="J101" s="60">
        <v>4</v>
      </c>
      <c r="K101" s="60">
        <v>5</v>
      </c>
      <c r="L101" s="60">
        <v>5</v>
      </c>
      <c r="M101" s="60">
        <v>4</v>
      </c>
      <c r="N101" s="60">
        <v>5</v>
      </c>
      <c r="O101" s="60">
        <v>6</v>
      </c>
      <c r="P101" s="60">
        <v>6</v>
      </c>
      <c r="Q101" s="61">
        <v>45</v>
      </c>
      <c r="S101" s="62" t="s">
        <v>74</v>
      </c>
      <c r="T101" s="42">
        <v>4</v>
      </c>
      <c r="U101" s="42">
        <v>3</v>
      </c>
      <c r="V101" s="42">
        <v>4</v>
      </c>
      <c r="W101" s="42">
        <v>5</v>
      </c>
      <c r="X101" s="42">
        <v>4</v>
      </c>
      <c r="Y101" s="42">
        <v>3</v>
      </c>
      <c r="Z101" s="42">
        <v>4</v>
      </c>
      <c r="AA101" s="42">
        <v>5</v>
      </c>
      <c r="AB101" s="42">
        <v>4</v>
      </c>
      <c r="AC101" s="55">
        <v>36</v>
      </c>
      <c r="AD101" s="40"/>
      <c r="AE101" s="2"/>
      <c r="AH101" s="2"/>
    </row>
    <row r="102" spans="1:35" x14ac:dyDescent="0.4">
      <c r="A102" s="63" t="s">
        <v>101</v>
      </c>
      <c r="B102" s="68">
        <v>8</v>
      </c>
      <c r="C102" s="69">
        <v>16</v>
      </c>
      <c r="D102" s="68" t="s">
        <v>44</v>
      </c>
      <c r="E102" s="69"/>
      <c r="F102" s="69"/>
      <c r="G102" s="68" t="s">
        <v>89</v>
      </c>
      <c r="H102" s="69">
        <v>6</v>
      </c>
      <c r="I102" s="69">
        <v>4</v>
      </c>
      <c r="J102" s="69">
        <v>7</v>
      </c>
      <c r="K102" s="69">
        <v>5</v>
      </c>
      <c r="L102" s="69">
        <v>5</v>
      </c>
      <c r="M102" s="69">
        <v>5</v>
      </c>
      <c r="N102" s="69">
        <v>5</v>
      </c>
      <c r="O102" s="69">
        <v>5</v>
      </c>
      <c r="P102" s="69">
        <v>5</v>
      </c>
      <c r="Q102" s="70">
        <v>47</v>
      </c>
      <c r="S102" s="65" t="s">
        <v>90</v>
      </c>
      <c r="T102" s="51">
        <v>6</v>
      </c>
      <c r="U102" s="51">
        <v>4</v>
      </c>
      <c r="V102" s="51">
        <v>7</v>
      </c>
      <c r="W102" s="51">
        <v>5</v>
      </c>
      <c r="X102" s="51">
        <v>5</v>
      </c>
      <c r="Y102" s="51">
        <v>5</v>
      </c>
      <c r="Z102" s="51">
        <v>5</v>
      </c>
      <c r="AA102" s="51">
        <v>5</v>
      </c>
      <c r="AB102" s="51">
        <v>5</v>
      </c>
      <c r="AC102" s="61">
        <v>47</v>
      </c>
      <c r="AD102" s="40"/>
      <c r="AE102" s="2"/>
      <c r="AH102" s="2"/>
    </row>
    <row r="103" spans="1:35" ht="15" thickBot="1" x14ac:dyDescent="0.45">
      <c r="A103" s="53"/>
      <c r="B103" s="54"/>
      <c r="C103" s="54"/>
      <c r="D103" s="54"/>
      <c r="E103" s="54"/>
      <c r="F103" s="54"/>
      <c r="G103" s="42" t="s">
        <v>91</v>
      </c>
      <c r="H103" s="42">
        <v>2</v>
      </c>
      <c r="I103" s="42">
        <v>1</v>
      </c>
      <c r="J103" s="42">
        <v>1</v>
      </c>
      <c r="K103" s="42">
        <v>1</v>
      </c>
      <c r="L103" s="42">
        <v>1</v>
      </c>
      <c r="M103" s="42">
        <v>1</v>
      </c>
      <c r="N103" s="42">
        <v>2</v>
      </c>
      <c r="O103" s="42">
        <v>1</v>
      </c>
      <c r="P103" s="42">
        <v>1</v>
      </c>
      <c r="Q103" s="55">
        <v>11</v>
      </c>
      <c r="S103" s="71" t="s">
        <v>92</v>
      </c>
      <c r="T103" s="71">
        <v>1</v>
      </c>
      <c r="U103" s="71">
        <v>1</v>
      </c>
      <c r="V103" s="71">
        <v>-1</v>
      </c>
      <c r="W103" s="71">
        <v>3</v>
      </c>
      <c r="X103" s="71">
        <v>1</v>
      </c>
      <c r="Y103" s="71">
        <v>0</v>
      </c>
      <c r="Z103" s="71">
        <v>3</v>
      </c>
      <c r="AA103" s="71">
        <v>3</v>
      </c>
      <c r="AB103" s="71">
        <v>1</v>
      </c>
      <c r="AC103" s="70">
        <v>12</v>
      </c>
      <c r="AD103" s="40"/>
      <c r="AE103" s="2"/>
      <c r="AH103" s="2"/>
    </row>
    <row r="104" spans="1:35" ht="15" thickBot="1" x14ac:dyDescent="0.45">
      <c r="A104" s="72"/>
      <c r="B104" s="73"/>
      <c r="C104" s="73"/>
      <c r="D104" s="73"/>
      <c r="E104" s="73"/>
      <c r="F104" s="73"/>
      <c r="G104" s="74" t="s">
        <v>93</v>
      </c>
      <c r="H104" s="60">
        <v>4</v>
      </c>
      <c r="I104" s="60">
        <v>3</v>
      </c>
      <c r="J104" s="60">
        <v>6</v>
      </c>
      <c r="K104" s="60">
        <v>4</v>
      </c>
      <c r="L104" s="60">
        <v>4</v>
      </c>
      <c r="M104" s="60">
        <v>4</v>
      </c>
      <c r="N104" s="60">
        <v>3</v>
      </c>
      <c r="O104" s="60">
        <v>4</v>
      </c>
      <c r="P104" s="60">
        <v>4</v>
      </c>
      <c r="Q104" s="75">
        <v>36</v>
      </c>
      <c r="S104" s="27" t="s">
        <v>74</v>
      </c>
      <c r="T104" s="76">
        <v>4</v>
      </c>
      <c r="U104" s="76">
        <v>3</v>
      </c>
      <c r="V104" s="76">
        <v>4</v>
      </c>
      <c r="W104" s="76">
        <v>5</v>
      </c>
      <c r="X104" s="76">
        <v>4</v>
      </c>
      <c r="Y104" s="76">
        <v>3</v>
      </c>
      <c r="Z104" s="76">
        <v>4</v>
      </c>
      <c r="AA104" s="76">
        <v>5</v>
      </c>
      <c r="AB104" s="76">
        <v>4</v>
      </c>
      <c r="AC104" s="77">
        <v>36</v>
      </c>
      <c r="AD104" s="40">
        <v>8</v>
      </c>
      <c r="AE104" s="78">
        <v>12</v>
      </c>
      <c r="AF104" s="78">
        <v>0</v>
      </c>
      <c r="AG104" s="78">
        <v>0</v>
      </c>
      <c r="AH104" s="79">
        <v>0</v>
      </c>
      <c r="AI104" s="79">
        <v>0</v>
      </c>
    </row>
    <row r="105" spans="1:35" ht="15" thickBo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40"/>
      <c r="AE105" s="2"/>
      <c r="AH105" s="2"/>
    </row>
    <row r="106" spans="1:35" ht="15" thickBot="1" x14ac:dyDescent="0.45">
      <c r="A106" s="42" t="s">
        <v>82</v>
      </c>
      <c r="B106" s="42" t="s">
        <v>0</v>
      </c>
      <c r="C106" s="42" t="s">
        <v>6</v>
      </c>
      <c r="D106" s="42" t="s">
        <v>84</v>
      </c>
      <c r="E106" s="42" t="s">
        <v>85</v>
      </c>
      <c r="F106" s="42" t="s">
        <v>86</v>
      </c>
      <c r="G106" s="42"/>
      <c r="H106" s="42">
        <v>1</v>
      </c>
      <c r="I106" s="42">
        <v>2</v>
      </c>
      <c r="J106" s="42">
        <v>3</v>
      </c>
      <c r="K106" s="42">
        <v>4</v>
      </c>
      <c r="L106" s="42">
        <v>5</v>
      </c>
      <c r="M106" s="42">
        <v>6</v>
      </c>
      <c r="N106" s="42">
        <v>7</v>
      </c>
      <c r="O106" s="42">
        <v>8</v>
      </c>
      <c r="P106" s="42">
        <v>9</v>
      </c>
      <c r="Q106" s="42" t="s">
        <v>87</v>
      </c>
      <c r="S106" s="43" t="s">
        <v>88</v>
      </c>
      <c r="T106" s="44">
        <v>1</v>
      </c>
      <c r="U106" s="44">
        <v>2</v>
      </c>
      <c r="V106" s="44">
        <v>3</v>
      </c>
      <c r="W106" s="44">
        <v>4</v>
      </c>
      <c r="X106" s="44">
        <v>5</v>
      </c>
      <c r="Y106" s="44">
        <v>6</v>
      </c>
      <c r="Z106" s="44">
        <v>7</v>
      </c>
      <c r="AA106" s="44">
        <v>8</v>
      </c>
      <c r="AB106" s="44">
        <v>9</v>
      </c>
      <c r="AC106" s="45" t="s">
        <v>4</v>
      </c>
      <c r="AD106" s="40"/>
      <c r="AE106" s="2"/>
      <c r="AH106" s="2"/>
    </row>
    <row r="107" spans="1:35" x14ac:dyDescent="0.4">
      <c r="A107" s="46">
        <v>2</v>
      </c>
      <c r="B107" s="47">
        <v>7</v>
      </c>
      <c r="C107" s="48">
        <v>13</v>
      </c>
      <c r="D107" s="47" t="s">
        <v>29</v>
      </c>
      <c r="E107" s="48"/>
      <c r="F107" s="48"/>
      <c r="G107" s="47" t="s">
        <v>89</v>
      </c>
      <c r="H107" s="48">
        <v>7</v>
      </c>
      <c r="I107" s="48">
        <v>5</v>
      </c>
      <c r="J107" s="48">
        <v>4</v>
      </c>
      <c r="K107" s="48">
        <v>7</v>
      </c>
      <c r="L107" s="48">
        <v>6</v>
      </c>
      <c r="M107" s="48">
        <v>4</v>
      </c>
      <c r="N107" s="48">
        <v>6</v>
      </c>
      <c r="O107" s="48">
        <v>6</v>
      </c>
      <c r="P107" s="48">
        <v>5</v>
      </c>
      <c r="Q107" s="49">
        <v>50</v>
      </c>
      <c r="S107" s="50" t="s">
        <v>90</v>
      </c>
      <c r="T107" s="51">
        <v>7</v>
      </c>
      <c r="U107" s="51">
        <v>5</v>
      </c>
      <c r="V107" s="51">
        <v>4</v>
      </c>
      <c r="W107" s="51">
        <v>7</v>
      </c>
      <c r="X107" s="51">
        <v>6</v>
      </c>
      <c r="Y107" s="51">
        <v>4</v>
      </c>
      <c r="Z107" s="51">
        <v>6</v>
      </c>
      <c r="AA107" s="51">
        <v>6</v>
      </c>
      <c r="AB107" s="51">
        <v>5</v>
      </c>
      <c r="AC107" s="52">
        <v>50</v>
      </c>
      <c r="AD107" s="40"/>
      <c r="AE107" s="2"/>
      <c r="AH107" s="2"/>
    </row>
    <row r="108" spans="1:35" x14ac:dyDescent="0.4">
      <c r="A108" s="53"/>
      <c r="B108" s="54"/>
      <c r="C108" s="54"/>
      <c r="D108" s="54"/>
      <c r="E108" s="54"/>
      <c r="F108" s="54"/>
      <c r="G108" s="42" t="s">
        <v>91</v>
      </c>
      <c r="H108" s="42">
        <v>2</v>
      </c>
      <c r="I108" s="42">
        <v>1</v>
      </c>
      <c r="J108" s="42">
        <v>1</v>
      </c>
      <c r="K108" s="42">
        <v>1</v>
      </c>
      <c r="L108" s="42">
        <v>1</v>
      </c>
      <c r="M108" s="42">
        <v>1</v>
      </c>
      <c r="N108" s="42">
        <v>2</v>
      </c>
      <c r="O108" s="42">
        <v>1</v>
      </c>
      <c r="P108" s="42">
        <v>1</v>
      </c>
      <c r="Q108" s="55">
        <v>11</v>
      </c>
      <c r="S108" s="56" t="s">
        <v>92</v>
      </c>
      <c r="T108" s="57">
        <v>0</v>
      </c>
      <c r="U108" s="57">
        <v>0</v>
      </c>
      <c r="V108" s="57">
        <v>3</v>
      </c>
      <c r="W108" s="57">
        <v>0</v>
      </c>
      <c r="X108" s="57">
        <v>0</v>
      </c>
      <c r="Y108" s="57">
        <v>1</v>
      </c>
      <c r="Z108" s="57">
        <v>1</v>
      </c>
      <c r="AA108" s="57">
        <v>1</v>
      </c>
      <c r="AB108" s="57">
        <v>1</v>
      </c>
      <c r="AC108" s="58">
        <v>7</v>
      </c>
      <c r="AD108" s="40"/>
      <c r="AE108" s="2"/>
      <c r="AH108" s="2"/>
    </row>
    <row r="109" spans="1:35" ht="15" thickBot="1" x14ac:dyDescent="0.45">
      <c r="A109" s="53"/>
      <c r="B109" s="54"/>
      <c r="C109" s="54"/>
      <c r="D109" s="54"/>
      <c r="E109" s="54"/>
      <c r="F109" s="54"/>
      <c r="G109" s="59" t="s">
        <v>93</v>
      </c>
      <c r="H109" s="60">
        <v>5</v>
      </c>
      <c r="I109" s="60">
        <v>4</v>
      </c>
      <c r="J109" s="60">
        <v>3</v>
      </c>
      <c r="K109" s="60">
        <v>6</v>
      </c>
      <c r="L109" s="60">
        <v>5</v>
      </c>
      <c r="M109" s="60">
        <v>3</v>
      </c>
      <c r="N109" s="60">
        <v>4</v>
      </c>
      <c r="O109" s="60">
        <v>5</v>
      </c>
      <c r="P109" s="60">
        <v>4</v>
      </c>
      <c r="Q109" s="61">
        <v>39</v>
      </c>
      <c r="S109" s="62" t="s">
        <v>74</v>
      </c>
      <c r="T109" s="42">
        <v>4</v>
      </c>
      <c r="U109" s="42">
        <v>3</v>
      </c>
      <c r="V109" s="42">
        <v>4</v>
      </c>
      <c r="W109" s="42">
        <v>5</v>
      </c>
      <c r="X109" s="42">
        <v>4</v>
      </c>
      <c r="Y109" s="42">
        <v>3</v>
      </c>
      <c r="Z109" s="42">
        <v>4</v>
      </c>
      <c r="AA109" s="42">
        <v>5</v>
      </c>
      <c r="AB109" s="42">
        <v>4</v>
      </c>
      <c r="AC109" s="55">
        <v>36</v>
      </c>
      <c r="AD109" s="40"/>
      <c r="AE109" s="2"/>
      <c r="AH109" s="2"/>
    </row>
    <row r="110" spans="1:35" x14ac:dyDescent="0.4">
      <c r="A110" s="63" t="s">
        <v>74</v>
      </c>
      <c r="B110" s="57">
        <v>7</v>
      </c>
      <c r="C110" s="64">
        <v>14</v>
      </c>
      <c r="D110" s="47" t="s">
        <v>30</v>
      </c>
      <c r="E110" s="64"/>
      <c r="F110" s="64"/>
      <c r="G110" s="57" t="s">
        <v>89</v>
      </c>
      <c r="H110" s="64">
        <v>6</v>
      </c>
      <c r="I110" s="64">
        <v>4</v>
      </c>
      <c r="J110" s="64">
        <v>4</v>
      </c>
      <c r="K110" s="64">
        <v>6</v>
      </c>
      <c r="L110" s="64">
        <v>4</v>
      </c>
      <c r="M110" s="64">
        <v>4</v>
      </c>
      <c r="N110" s="64">
        <v>6</v>
      </c>
      <c r="O110" s="64">
        <v>5</v>
      </c>
      <c r="P110" s="64">
        <v>4</v>
      </c>
      <c r="Q110" s="49">
        <v>43</v>
      </c>
      <c r="S110" s="65" t="s">
        <v>90</v>
      </c>
      <c r="T110" s="51">
        <v>6</v>
      </c>
      <c r="U110" s="51">
        <v>4</v>
      </c>
      <c r="V110" s="51">
        <v>4</v>
      </c>
      <c r="W110" s="51">
        <v>6</v>
      </c>
      <c r="X110" s="51">
        <v>4</v>
      </c>
      <c r="Y110" s="51">
        <v>4</v>
      </c>
      <c r="Z110" s="51">
        <v>6</v>
      </c>
      <c r="AA110" s="51">
        <v>5</v>
      </c>
      <c r="AB110" s="51">
        <v>4</v>
      </c>
      <c r="AC110" s="61">
        <v>43</v>
      </c>
      <c r="AD110" s="40"/>
      <c r="AE110" s="2"/>
      <c r="AH110" s="2"/>
    </row>
    <row r="111" spans="1:35" ht="15" thickBot="1" x14ac:dyDescent="0.45">
      <c r="A111" s="53"/>
      <c r="B111" s="54"/>
      <c r="C111" s="54"/>
      <c r="D111" s="54"/>
      <c r="E111" s="54"/>
      <c r="F111" s="54"/>
      <c r="G111" s="42" t="s">
        <v>91</v>
      </c>
      <c r="H111" s="42">
        <v>2</v>
      </c>
      <c r="I111" s="42">
        <v>2</v>
      </c>
      <c r="J111" s="42">
        <v>1</v>
      </c>
      <c r="K111" s="42">
        <v>1</v>
      </c>
      <c r="L111" s="42">
        <v>2</v>
      </c>
      <c r="M111" s="42">
        <v>1</v>
      </c>
      <c r="N111" s="42">
        <v>2</v>
      </c>
      <c r="O111" s="42">
        <v>1</v>
      </c>
      <c r="P111" s="42">
        <v>1</v>
      </c>
      <c r="Q111" s="55">
        <v>13</v>
      </c>
      <c r="S111" s="56" t="s">
        <v>92</v>
      </c>
      <c r="T111" s="57">
        <v>1</v>
      </c>
      <c r="U111" s="57">
        <v>3</v>
      </c>
      <c r="V111" s="57">
        <v>3</v>
      </c>
      <c r="W111" s="57">
        <v>1</v>
      </c>
      <c r="X111" s="57">
        <v>4</v>
      </c>
      <c r="Y111" s="57">
        <v>1</v>
      </c>
      <c r="Z111" s="57">
        <v>1</v>
      </c>
      <c r="AA111" s="57">
        <v>3</v>
      </c>
      <c r="AB111" s="57">
        <v>3</v>
      </c>
      <c r="AC111" s="58">
        <v>20</v>
      </c>
      <c r="AD111" s="40"/>
      <c r="AE111" s="2"/>
      <c r="AH111" s="2"/>
    </row>
    <row r="112" spans="1:35" ht="15" thickBot="1" x14ac:dyDescent="0.45">
      <c r="A112" s="53"/>
      <c r="B112" s="54"/>
      <c r="C112" s="54"/>
      <c r="D112" s="54"/>
      <c r="E112" s="54"/>
      <c r="F112" s="54"/>
      <c r="G112" s="59" t="s">
        <v>93</v>
      </c>
      <c r="H112" s="60">
        <v>4</v>
      </c>
      <c r="I112" s="60">
        <v>2</v>
      </c>
      <c r="J112" s="60">
        <v>3</v>
      </c>
      <c r="K112" s="60">
        <v>5</v>
      </c>
      <c r="L112" s="60">
        <v>2</v>
      </c>
      <c r="M112" s="60">
        <v>3</v>
      </c>
      <c r="N112" s="60">
        <v>4</v>
      </c>
      <c r="O112" s="60">
        <v>4</v>
      </c>
      <c r="P112" s="60">
        <v>3</v>
      </c>
      <c r="Q112" s="61">
        <v>30</v>
      </c>
      <c r="S112" s="62" t="s">
        <v>74</v>
      </c>
      <c r="T112" s="42">
        <v>4</v>
      </c>
      <c r="U112" s="42">
        <v>3</v>
      </c>
      <c r="V112" s="42">
        <v>4</v>
      </c>
      <c r="W112" s="42">
        <v>5</v>
      </c>
      <c r="X112" s="42">
        <v>4</v>
      </c>
      <c r="Y112" s="42">
        <v>3</v>
      </c>
      <c r="Z112" s="42">
        <v>4</v>
      </c>
      <c r="AA112" s="42">
        <v>5</v>
      </c>
      <c r="AB112" s="42">
        <v>4</v>
      </c>
      <c r="AC112" s="55">
        <v>36</v>
      </c>
      <c r="AD112" s="40">
        <v>7</v>
      </c>
      <c r="AE112" s="80">
        <v>27</v>
      </c>
      <c r="AF112" s="66">
        <v>2</v>
      </c>
      <c r="AG112" s="66">
        <v>0</v>
      </c>
      <c r="AH112" s="67">
        <v>6</v>
      </c>
      <c r="AI112" s="67">
        <v>8</v>
      </c>
    </row>
    <row r="113" spans="1:35" x14ac:dyDescent="0.4">
      <c r="A113" s="63" t="s">
        <v>94</v>
      </c>
      <c r="B113" s="68">
        <v>10</v>
      </c>
      <c r="C113" s="69">
        <v>20</v>
      </c>
      <c r="D113" s="68" t="s">
        <v>18</v>
      </c>
      <c r="E113" s="69"/>
      <c r="F113" s="69"/>
      <c r="G113" s="68" t="s">
        <v>89</v>
      </c>
      <c r="H113" s="69">
        <v>6</v>
      </c>
      <c r="I113" s="69">
        <v>3</v>
      </c>
      <c r="J113" s="69">
        <v>4</v>
      </c>
      <c r="K113" s="69">
        <v>5</v>
      </c>
      <c r="L113" s="69">
        <v>4</v>
      </c>
      <c r="M113" s="69">
        <v>4</v>
      </c>
      <c r="N113" s="69">
        <v>5</v>
      </c>
      <c r="O113" s="69">
        <v>5</v>
      </c>
      <c r="P113" s="69">
        <v>4</v>
      </c>
      <c r="Q113" s="70">
        <v>40</v>
      </c>
      <c r="S113" s="65" t="s">
        <v>90</v>
      </c>
      <c r="T113" s="51">
        <v>6</v>
      </c>
      <c r="U113" s="51">
        <v>3</v>
      </c>
      <c r="V113" s="51">
        <v>4</v>
      </c>
      <c r="W113" s="51">
        <v>5</v>
      </c>
      <c r="X113" s="51">
        <v>4</v>
      </c>
      <c r="Y113" s="51">
        <v>4</v>
      </c>
      <c r="Z113" s="51">
        <v>5</v>
      </c>
      <c r="AA113" s="51">
        <v>5</v>
      </c>
      <c r="AB113" s="51">
        <v>4</v>
      </c>
      <c r="AC113" s="61">
        <v>40</v>
      </c>
      <c r="AD113" s="40"/>
      <c r="AE113" s="2"/>
      <c r="AH113" s="2"/>
    </row>
    <row r="114" spans="1:35" x14ac:dyDescent="0.4">
      <c r="A114" s="53"/>
      <c r="B114" s="54"/>
      <c r="C114" s="54"/>
      <c r="D114" s="54"/>
      <c r="E114" s="54"/>
      <c r="F114" s="54"/>
      <c r="G114" s="42" t="s">
        <v>91</v>
      </c>
      <c r="H114" s="42">
        <v>1</v>
      </c>
      <c r="I114" s="42">
        <v>1</v>
      </c>
      <c r="J114" s="42">
        <v>1</v>
      </c>
      <c r="K114" s="42">
        <v>0</v>
      </c>
      <c r="L114" s="42">
        <v>1</v>
      </c>
      <c r="M114" s="42">
        <v>0</v>
      </c>
      <c r="N114" s="42">
        <v>1</v>
      </c>
      <c r="O114" s="42">
        <v>1</v>
      </c>
      <c r="P114" s="42">
        <v>1</v>
      </c>
      <c r="Q114" s="55">
        <v>7</v>
      </c>
      <c r="S114" s="71" t="s">
        <v>92</v>
      </c>
      <c r="T114" s="71">
        <v>0</v>
      </c>
      <c r="U114" s="71">
        <v>3</v>
      </c>
      <c r="V114" s="71">
        <v>3</v>
      </c>
      <c r="W114" s="71">
        <v>1</v>
      </c>
      <c r="X114" s="71">
        <v>3</v>
      </c>
      <c r="Y114" s="71">
        <v>0</v>
      </c>
      <c r="Z114" s="71">
        <v>1</v>
      </c>
      <c r="AA114" s="71">
        <v>3</v>
      </c>
      <c r="AB114" s="71">
        <v>3</v>
      </c>
      <c r="AC114" s="70">
        <v>17</v>
      </c>
      <c r="AD114" s="40"/>
      <c r="AE114" s="2"/>
      <c r="AH114" s="2"/>
    </row>
    <row r="115" spans="1:35" x14ac:dyDescent="0.4">
      <c r="A115" s="53"/>
      <c r="B115" s="54"/>
      <c r="C115" s="54"/>
      <c r="D115" s="54"/>
      <c r="E115" s="54"/>
      <c r="F115" s="54"/>
      <c r="G115" s="59" t="s">
        <v>93</v>
      </c>
      <c r="H115" s="60">
        <v>5</v>
      </c>
      <c r="I115" s="60">
        <v>2</v>
      </c>
      <c r="J115" s="60">
        <v>3</v>
      </c>
      <c r="K115" s="60">
        <v>5</v>
      </c>
      <c r="L115" s="60">
        <v>3</v>
      </c>
      <c r="M115" s="60">
        <v>4</v>
      </c>
      <c r="N115" s="60">
        <v>4</v>
      </c>
      <c r="O115" s="60">
        <v>4</v>
      </c>
      <c r="P115" s="60">
        <v>3</v>
      </c>
      <c r="Q115" s="61">
        <v>33</v>
      </c>
      <c r="S115" s="62" t="s">
        <v>74</v>
      </c>
      <c r="T115" s="42">
        <v>4</v>
      </c>
      <c r="U115" s="42">
        <v>3</v>
      </c>
      <c r="V115" s="42">
        <v>4</v>
      </c>
      <c r="W115" s="42">
        <v>5</v>
      </c>
      <c r="X115" s="42">
        <v>4</v>
      </c>
      <c r="Y115" s="42">
        <v>3</v>
      </c>
      <c r="Z115" s="42">
        <v>4</v>
      </c>
      <c r="AA115" s="42">
        <v>5</v>
      </c>
      <c r="AB115" s="42">
        <v>4</v>
      </c>
      <c r="AC115" s="55">
        <v>36</v>
      </c>
      <c r="AD115" s="40"/>
      <c r="AE115" s="2"/>
      <c r="AH115" s="2"/>
    </row>
    <row r="116" spans="1:35" x14ac:dyDescent="0.4">
      <c r="A116" s="63" t="s">
        <v>102</v>
      </c>
      <c r="B116" s="68">
        <v>10</v>
      </c>
      <c r="C116" s="69">
        <v>19</v>
      </c>
      <c r="D116" s="68" t="s">
        <v>17</v>
      </c>
      <c r="E116" s="69"/>
      <c r="F116" s="69"/>
      <c r="G116" s="68" t="s">
        <v>89</v>
      </c>
      <c r="H116" s="69">
        <v>7</v>
      </c>
      <c r="I116" s="69">
        <v>3</v>
      </c>
      <c r="J116" s="69">
        <v>4</v>
      </c>
      <c r="K116" s="69">
        <v>5</v>
      </c>
      <c r="L116" s="69">
        <v>5</v>
      </c>
      <c r="M116" s="69">
        <v>3</v>
      </c>
      <c r="N116" s="69">
        <v>4</v>
      </c>
      <c r="O116" s="69">
        <v>6</v>
      </c>
      <c r="P116" s="69">
        <v>6</v>
      </c>
      <c r="Q116" s="70">
        <v>43</v>
      </c>
      <c r="S116" s="65" t="s">
        <v>90</v>
      </c>
      <c r="T116" s="51">
        <v>7</v>
      </c>
      <c r="U116" s="51">
        <v>3</v>
      </c>
      <c r="V116" s="51">
        <v>4</v>
      </c>
      <c r="W116" s="51">
        <v>5</v>
      </c>
      <c r="X116" s="51">
        <v>5</v>
      </c>
      <c r="Y116" s="51">
        <v>3</v>
      </c>
      <c r="Z116" s="51">
        <v>4</v>
      </c>
      <c r="AA116" s="51">
        <v>6</v>
      </c>
      <c r="AB116" s="51">
        <v>6</v>
      </c>
      <c r="AC116" s="61">
        <v>43</v>
      </c>
      <c r="AD116" s="40"/>
      <c r="AE116" s="2"/>
      <c r="AH116" s="2"/>
    </row>
    <row r="117" spans="1:35" ht="15" thickBot="1" x14ac:dyDescent="0.45">
      <c r="A117" s="53"/>
      <c r="B117" s="54"/>
      <c r="C117" s="54"/>
      <c r="D117" s="54"/>
      <c r="E117" s="54"/>
      <c r="F117" s="54"/>
      <c r="G117" s="42" t="s">
        <v>91</v>
      </c>
      <c r="H117" s="42">
        <v>2</v>
      </c>
      <c r="I117" s="42">
        <v>1</v>
      </c>
      <c r="J117" s="42">
        <v>1</v>
      </c>
      <c r="K117" s="42">
        <v>1</v>
      </c>
      <c r="L117" s="42">
        <v>1</v>
      </c>
      <c r="M117" s="42">
        <v>1</v>
      </c>
      <c r="N117" s="42">
        <v>1</v>
      </c>
      <c r="O117" s="42">
        <v>1</v>
      </c>
      <c r="P117" s="42">
        <v>1</v>
      </c>
      <c r="Q117" s="55">
        <v>10</v>
      </c>
      <c r="S117" s="71" t="s">
        <v>92</v>
      </c>
      <c r="T117" s="71">
        <v>0</v>
      </c>
      <c r="U117" s="71">
        <v>3</v>
      </c>
      <c r="V117" s="71">
        <v>3</v>
      </c>
      <c r="W117" s="71">
        <v>3</v>
      </c>
      <c r="X117" s="71">
        <v>1</v>
      </c>
      <c r="Y117" s="71">
        <v>3</v>
      </c>
      <c r="Z117" s="71">
        <v>3</v>
      </c>
      <c r="AA117" s="71">
        <v>1</v>
      </c>
      <c r="AB117" s="71">
        <v>0</v>
      </c>
      <c r="AC117" s="70">
        <v>17</v>
      </c>
      <c r="AD117" s="40"/>
      <c r="AE117" s="2"/>
      <c r="AH117" s="2"/>
    </row>
    <row r="118" spans="1:35" ht="15" thickBot="1" x14ac:dyDescent="0.45">
      <c r="A118" s="72"/>
      <c r="B118" s="73"/>
      <c r="C118" s="73"/>
      <c r="D118" s="73"/>
      <c r="E118" s="73"/>
      <c r="F118" s="73"/>
      <c r="G118" s="74" t="s">
        <v>93</v>
      </c>
      <c r="H118" s="60">
        <v>5</v>
      </c>
      <c r="I118" s="60">
        <v>2</v>
      </c>
      <c r="J118" s="60">
        <v>3</v>
      </c>
      <c r="K118" s="60">
        <v>4</v>
      </c>
      <c r="L118" s="60">
        <v>4</v>
      </c>
      <c r="M118" s="60">
        <v>2</v>
      </c>
      <c r="N118" s="60">
        <v>3</v>
      </c>
      <c r="O118" s="60">
        <v>5</v>
      </c>
      <c r="P118" s="60">
        <v>5</v>
      </c>
      <c r="Q118" s="75">
        <v>33</v>
      </c>
      <c r="S118" s="62" t="s">
        <v>74</v>
      </c>
      <c r="T118" s="42">
        <v>4</v>
      </c>
      <c r="U118" s="42">
        <v>3</v>
      </c>
      <c r="V118" s="42">
        <v>4</v>
      </c>
      <c r="W118" s="42">
        <v>5</v>
      </c>
      <c r="X118" s="42">
        <v>4</v>
      </c>
      <c r="Y118" s="42">
        <v>3</v>
      </c>
      <c r="Z118" s="42">
        <v>4</v>
      </c>
      <c r="AA118" s="42">
        <v>5</v>
      </c>
      <c r="AB118" s="42">
        <v>4</v>
      </c>
      <c r="AC118" s="77">
        <v>36</v>
      </c>
      <c r="AD118" s="40">
        <v>10</v>
      </c>
      <c r="AE118" s="78">
        <v>34</v>
      </c>
      <c r="AF118" s="78">
        <v>2</v>
      </c>
      <c r="AG118" s="78">
        <v>4</v>
      </c>
      <c r="AH118" s="79">
        <v>8</v>
      </c>
      <c r="AI118" s="79">
        <v>14</v>
      </c>
    </row>
    <row r="119" spans="1:35" ht="15" thickBo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40"/>
      <c r="AE119" s="2"/>
      <c r="AH119" s="2"/>
    </row>
    <row r="120" spans="1:35" ht="15" thickBot="1" x14ac:dyDescent="0.45">
      <c r="A120" s="42" t="s">
        <v>82</v>
      </c>
      <c r="B120" s="42" t="s">
        <v>0</v>
      </c>
      <c r="C120" s="42" t="s">
        <v>6</v>
      </c>
      <c r="D120" s="42" t="s">
        <v>84</v>
      </c>
      <c r="E120" s="42" t="s">
        <v>85</v>
      </c>
      <c r="F120" s="42" t="s">
        <v>86</v>
      </c>
      <c r="G120" s="42"/>
      <c r="H120" s="42">
        <v>1</v>
      </c>
      <c r="I120" s="42">
        <v>2</v>
      </c>
      <c r="J120" s="42">
        <v>3</v>
      </c>
      <c r="K120" s="42">
        <v>4</v>
      </c>
      <c r="L120" s="42">
        <v>5</v>
      </c>
      <c r="M120" s="42">
        <v>6</v>
      </c>
      <c r="N120" s="42">
        <v>7</v>
      </c>
      <c r="O120" s="42">
        <v>8</v>
      </c>
      <c r="P120" s="42">
        <v>9</v>
      </c>
      <c r="Q120" s="42" t="s">
        <v>87</v>
      </c>
      <c r="S120" s="43" t="s">
        <v>88</v>
      </c>
      <c r="T120" s="44">
        <v>1</v>
      </c>
      <c r="U120" s="44">
        <v>2</v>
      </c>
      <c r="V120" s="44">
        <v>3</v>
      </c>
      <c r="W120" s="44">
        <v>4</v>
      </c>
      <c r="X120" s="44">
        <v>5</v>
      </c>
      <c r="Y120" s="44">
        <v>6</v>
      </c>
      <c r="Z120" s="44">
        <v>7</v>
      </c>
      <c r="AA120" s="44">
        <v>8</v>
      </c>
      <c r="AB120" s="44">
        <v>9</v>
      </c>
      <c r="AC120" s="45" t="s">
        <v>4</v>
      </c>
      <c r="AD120" s="40"/>
      <c r="AE120" s="2"/>
      <c r="AH120" s="2"/>
    </row>
    <row r="121" spans="1:35" x14ac:dyDescent="0.4">
      <c r="A121" s="46">
        <v>2</v>
      </c>
      <c r="B121" s="47">
        <v>15</v>
      </c>
      <c r="C121" s="48">
        <v>29</v>
      </c>
      <c r="D121" s="47" t="s">
        <v>39</v>
      </c>
      <c r="E121" s="48"/>
      <c r="F121" s="48"/>
      <c r="G121" s="47" t="s">
        <v>89</v>
      </c>
      <c r="H121" s="48">
        <v>6</v>
      </c>
      <c r="I121" s="48">
        <v>7</v>
      </c>
      <c r="J121" s="48">
        <v>8</v>
      </c>
      <c r="K121" s="48">
        <v>9</v>
      </c>
      <c r="L121" s="48">
        <v>5</v>
      </c>
      <c r="M121" s="48">
        <v>4</v>
      </c>
      <c r="N121" s="48">
        <v>6</v>
      </c>
      <c r="O121" s="48">
        <v>7</v>
      </c>
      <c r="P121" s="48">
        <v>6</v>
      </c>
      <c r="Q121" s="49">
        <v>58</v>
      </c>
      <c r="S121" s="50" t="s">
        <v>90</v>
      </c>
      <c r="T121" s="51">
        <v>6</v>
      </c>
      <c r="U121" s="51">
        <v>7</v>
      </c>
      <c r="V121" s="51">
        <v>7</v>
      </c>
      <c r="W121" s="51">
        <v>8</v>
      </c>
      <c r="X121" s="51">
        <v>5</v>
      </c>
      <c r="Y121" s="51">
        <v>4</v>
      </c>
      <c r="Z121" s="51">
        <v>6</v>
      </c>
      <c r="AA121" s="51">
        <v>7</v>
      </c>
      <c r="AB121" s="51">
        <v>6</v>
      </c>
      <c r="AC121" s="52">
        <v>56</v>
      </c>
      <c r="AD121" s="40"/>
      <c r="AE121" s="2"/>
      <c r="AH121" s="2"/>
    </row>
    <row r="122" spans="1:35" x14ac:dyDescent="0.4">
      <c r="A122" s="53"/>
      <c r="B122" s="54"/>
      <c r="C122" s="54"/>
      <c r="D122" s="54"/>
      <c r="E122" s="54"/>
      <c r="F122" s="54"/>
      <c r="G122" s="42" t="s">
        <v>91</v>
      </c>
      <c r="H122" s="42">
        <v>2</v>
      </c>
      <c r="I122" s="42">
        <v>2</v>
      </c>
      <c r="J122" s="42">
        <v>1</v>
      </c>
      <c r="K122" s="42">
        <v>1</v>
      </c>
      <c r="L122" s="42">
        <v>2</v>
      </c>
      <c r="M122" s="42">
        <v>1</v>
      </c>
      <c r="N122" s="42">
        <v>2</v>
      </c>
      <c r="O122" s="42">
        <v>1</v>
      </c>
      <c r="P122" s="42">
        <v>2</v>
      </c>
      <c r="Q122" s="55">
        <v>14</v>
      </c>
      <c r="S122" s="56" t="s">
        <v>92</v>
      </c>
      <c r="T122" s="57">
        <v>1</v>
      </c>
      <c r="U122" s="57">
        <v>-1</v>
      </c>
      <c r="V122" s="57">
        <v>-1</v>
      </c>
      <c r="W122" s="57">
        <v>-1</v>
      </c>
      <c r="X122" s="57">
        <v>3</v>
      </c>
      <c r="Y122" s="57">
        <v>1</v>
      </c>
      <c r="Z122" s="57">
        <v>1</v>
      </c>
      <c r="AA122" s="57">
        <v>0</v>
      </c>
      <c r="AB122" s="57">
        <v>1</v>
      </c>
      <c r="AC122" s="58">
        <v>4</v>
      </c>
      <c r="AD122" s="40"/>
      <c r="AE122" s="2"/>
      <c r="AH122" s="2"/>
    </row>
    <row r="123" spans="1:35" ht="15" thickBot="1" x14ac:dyDescent="0.45">
      <c r="A123" s="53"/>
      <c r="B123" s="54"/>
      <c r="C123" s="54"/>
      <c r="D123" s="54"/>
      <c r="E123" s="54"/>
      <c r="F123" s="54"/>
      <c r="G123" s="59" t="s">
        <v>93</v>
      </c>
      <c r="H123" s="60">
        <v>4</v>
      </c>
      <c r="I123" s="60">
        <v>5</v>
      </c>
      <c r="J123" s="60">
        <v>7</v>
      </c>
      <c r="K123" s="60">
        <v>8</v>
      </c>
      <c r="L123" s="60">
        <v>3</v>
      </c>
      <c r="M123" s="60">
        <v>3</v>
      </c>
      <c r="N123" s="60">
        <v>4</v>
      </c>
      <c r="O123" s="60">
        <v>6</v>
      </c>
      <c r="P123" s="60">
        <v>4</v>
      </c>
      <c r="Q123" s="61">
        <v>44</v>
      </c>
      <c r="S123" s="62" t="s">
        <v>74</v>
      </c>
      <c r="T123" s="42">
        <v>4</v>
      </c>
      <c r="U123" s="42">
        <v>3</v>
      </c>
      <c r="V123" s="42">
        <v>4</v>
      </c>
      <c r="W123" s="42">
        <v>5</v>
      </c>
      <c r="X123" s="42">
        <v>4</v>
      </c>
      <c r="Y123" s="42">
        <v>3</v>
      </c>
      <c r="Z123" s="42">
        <v>4</v>
      </c>
      <c r="AA123" s="42">
        <v>5</v>
      </c>
      <c r="AB123" s="42">
        <v>4</v>
      </c>
      <c r="AC123" s="55">
        <v>36</v>
      </c>
      <c r="AD123" s="40"/>
      <c r="AE123" s="2"/>
      <c r="AH123" s="2"/>
    </row>
    <row r="124" spans="1:35" x14ac:dyDescent="0.4">
      <c r="A124" s="63" t="s">
        <v>74</v>
      </c>
      <c r="B124" s="57">
        <v>15</v>
      </c>
      <c r="C124" s="64">
        <v>30</v>
      </c>
      <c r="D124" s="47" t="s">
        <v>71</v>
      </c>
      <c r="E124" s="64"/>
      <c r="F124" s="64"/>
      <c r="G124" s="57" t="s">
        <v>89</v>
      </c>
      <c r="H124" s="64">
        <v>6</v>
      </c>
      <c r="I124" s="64">
        <v>4</v>
      </c>
      <c r="J124" s="64">
        <v>6</v>
      </c>
      <c r="K124" s="64">
        <v>6</v>
      </c>
      <c r="L124" s="64">
        <v>6</v>
      </c>
      <c r="M124" s="64">
        <v>4</v>
      </c>
      <c r="N124" s="64">
        <v>6</v>
      </c>
      <c r="O124" s="64">
        <v>5</v>
      </c>
      <c r="P124" s="64">
        <v>5</v>
      </c>
      <c r="Q124" s="49">
        <v>48</v>
      </c>
      <c r="S124" s="65" t="s">
        <v>90</v>
      </c>
      <c r="T124" s="51">
        <v>6</v>
      </c>
      <c r="U124" s="51">
        <v>4</v>
      </c>
      <c r="V124" s="51">
        <v>6</v>
      </c>
      <c r="W124" s="51">
        <v>6</v>
      </c>
      <c r="X124" s="51">
        <v>6</v>
      </c>
      <c r="Y124" s="51">
        <v>4</v>
      </c>
      <c r="Z124" s="51">
        <v>6</v>
      </c>
      <c r="AA124" s="51">
        <v>5</v>
      </c>
      <c r="AB124" s="51">
        <v>5</v>
      </c>
      <c r="AC124" s="61">
        <v>48</v>
      </c>
      <c r="AD124" s="40"/>
      <c r="AE124" s="2"/>
      <c r="AH124" s="2"/>
    </row>
    <row r="125" spans="1:35" ht="15" thickBot="1" x14ac:dyDescent="0.45">
      <c r="A125" s="53"/>
      <c r="B125" s="54"/>
      <c r="C125" s="54"/>
      <c r="D125" s="54"/>
      <c r="E125" s="54"/>
      <c r="F125" s="54"/>
      <c r="G125" s="42" t="s">
        <v>91</v>
      </c>
      <c r="H125" s="42">
        <v>2</v>
      </c>
      <c r="I125" s="42">
        <v>2</v>
      </c>
      <c r="J125" s="42">
        <v>1</v>
      </c>
      <c r="K125" s="42">
        <v>1</v>
      </c>
      <c r="L125" s="42">
        <v>1</v>
      </c>
      <c r="M125" s="42">
        <v>1</v>
      </c>
      <c r="N125" s="42">
        <v>2</v>
      </c>
      <c r="O125" s="42">
        <v>1</v>
      </c>
      <c r="P125" s="42">
        <v>1</v>
      </c>
      <c r="Q125" s="55">
        <v>12</v>
      </c>
      <c r="S125" s="56" t="s">
        <v>92</v>
      </c>
      <c r="T125" s="57">
        <v>1</v>
      </c>
      <c r="U125" s="57">
        <v>3</v>
      </c>
      <c r="V125" s="57">
        <v>0</v>
      </c>
      <c r="W125" s="57">
        <v>1</v>
      </c>
      <c r="X125" s="57">
        <v>0</v>
      </c>
      <c r="Y125" s="57">
        <v>1</v>
      </c>
      <c r="Z125" s="57">
        <v>1</v>
      </c>
      <c r="AA125" s="57">
        <v>3</v>
      </c>
      <c r="AB125" s="57">
        <v>1</v>
      </c>
      <c r="AC125" s="58">
        <v>11</v>
      </c>
      <c r="AD125" s="40"/>
      <c r="AE125" s="2"/>
      <c r="AH125" s="2"/>
    </row>
    <row r="126" spans="1:35" ht="15" thickBot="1" x14ac:dyDescent="0.45">
      <c r="A126" s="53"/>
      <c r="B126" s="54"/>
      <c r="C126" s="54"/>
      <c r="D126" s="54"/>
      <c r="E126" s="54"/>
      <c r="F126" s="54"/>
      <c r="G126" s="59" t="s">
        <v>93</v>
      </c>
      <c r="H126" s="60">
        <v>4</v>
      </c>
      <c r="I126" s="60">
        <v>2</v>
      </c>
      <c r="J126" s="60">
        <v>5</v>
      </c>
      <c r="K126" s="60">
        <v>5</v>
      </c>
      <c r="L126" s="60">
        <v>5</v>
      </c>
      <c r="M126" s="60">
        <v>3</v>
      </c>
      <c r="N126" s="60">
        <v>4</v>
      </c>
      <c r="O126" s="60">
        <v>4</v>
      </c>
      <c r="P126" s="60">
        <v>4</v>
      </c>
      <c r="Q126" s="61">
        <v>36</v>
      </c>
      <c r="S126" s="62" t="s">
        <v>74</v>
      </c>
      <c r="T126" s="42">
        <v>4</v>
      </c>
      <c r="U126" s="42">
        <v>3</v>
      </c>
      <c r="V126" s="42">
        <v>4</v>
      </c>
      <c r="W126" s="42">
        <v>5</v>
      </c>
      <c r="X126" s="42">
        <v>4</v>
      </c>
      <c r="Y126" s="42">
        <v>3</v>
      </c>
      <c r="Z126" s="42">
        <v>4</v>
      </c>
      <c r="AA126" s="42">
        <v>5</v>
      </c>
      <c r="AB126" s="42">
        <v>4</v>
      </c>
      <c r="AC126" s="55">
        <v>36</v>
      </c>
      <c r="AD126" s="40">
        <v>15</v>
      </c>
      <c r="AE126" s="80">
        <v>15</v>
      </c>
      <c r="AF126" s="66">
        <v>2</v>
      </c>
      <c r="AG126" s="66">
        <v>0</v>
      </c>
      <c r="AH126" s="67">
        <v>2</v>
      </c>
      <c r="AI126" s="67">
        <v>4</v>
      </c>
    </row>
    <row r="127" spans="1:35" x14ac:dyDescent="0.4">
      <c r="A127" s="63" t="s">
        <v>94</v>
      </c>
      <c r="B127" s="68">
        <v>17</v>
      </c>
      <c r="C127" s="69">
        <v>34</v>
      </c>
      <c r="D127" s="68" t="s">
        <v>24</v>
      </c>
      <c r="E127" s="69"/>
      <c r="F127" s="69"/>
      <c r="G127" s="68" t="s">
        <v>89</v>
      </c>
      <c r="H127" s="69">
        <v>5</v>
      </c>
      <c r="I127" s="69">
        <v>5</v>
      </c>
      <c r="J127" s="69">
        <v>7</v>
      </c>
      <c r="K127" s="69">
        <v>9</v>
      </c>
      <c r="L127" s="69">
        <v>4</v>
      </c>
      <c r="M127" s="69">
        <v>4</v>
      </c>
      <c r="N127" s="69">
        <v>6</v>
      </c>
      <c r="O127" s="69">
        <v>4</v>
      </c>
      <c r="P127" s="69">
        <v>6</v>
      </c>
      <c r="Q127" s="70">
        <v>50</v>
      </c>
      <c r="S127" s="65" t="s">
        <v>90</v>
      </c>
      <c r="T127" s="51">
        <v>5</v>
      </c>
      <c r="U127" s="51">
        <v>5</v>
      </c>
      <c r="V127" s="51">
        <v>7</v>
      </c>
      <c r="W127" s="51">
        <v>8</v>
      </c>
      <c r="X127" s="51">
        <v>4</v>
      </c>
      <c r="Y127" s="51">
        <v>4</v>
      </c>
      <c r="Z127" s="51">
        <v>6</v>
      </c>
      <c r="AA127" s="51">
        <v>4</v>
      </c>
      <c r="AB127" s="51">
        <v>6</v>
      </c>
      <c r="AC127" s="61">
        <v>49</v>
      </c>
      <c r="AD127" s="40"/>
      <c r="AE127" s="2"/>
      <c r="AH127" s="2"/>
    </row>
    <row r="128" spans="1:35" x14ac:dyDescent="0.4">
      <c r="A128" s="53"/>
      <c r="B128" s="54"/>
      <c r="C128" s="54"/>
      <c r="D128" s="54"/>
      <c r="E128" s="54"/>
      <c r="F128" s="54"/>
      <c r="G128" s="42" t="s">
        <v>91</v>
      </c>
      <c r="H128" s="42">
        <v>1</v>
      </c>
      <c r="I128" s="42">
        <v>1</v>
      </c>
      <c r="J128" s="42">
        <v>1</v>
      </c>
      <c r="K128" s="42">
        <v>1</v>
      </c>
      <c r="L128" s="42">
        <v>1</v>
      </c>
      <c r="M128" s="42">
        <v>1</v>
      </c>
      <c r="N128" s="42">
        <v>1</v>
      </c>
      <c r="O128" s="42">
        <v>1</v>
      </c>
      <c r="P128" s="42">
        <v>1</v>
      </c>
      <c r="Q128" s="55">
        <v>9</v>
      </c>
      <c r="S128" s="71" t="s">
        <v>92</v>
      </c>
      <c r="T128" s="71">
        <v>1</v>
      </c>
      <c r="U128" s="71">
        <v>0</v>
      </c>
      <c r="V128" s="71">
        <v>-1</v>
      </c>
      <c r="W128" s="71">
        <v>-1</v>
      </c>
      <c r="X128" s="71">
        <v>3</v>
      </c>
      <c r="Y128" s="71">
        <v>1</v>
      </c>
      <c r="Z128" s="71">
        <v>0</v>
      </c>
      <c r="AA128" s="71">
        <v>4</v>
      </c>
      <c r="AB128" s="71">
        <v>0</v>
      </c>
      <c r="AC128" s="70">
        <v>7</v>
      </c>
      <c r="AD128" s="40"/>
      <c r="AE128" s="2"/>
      <c r="AH128" s="2"/>
    </row>
    <row r="129" spans="1:35" x14ac:dyDescent="0.4">
      <c r="A129" s="53"/>
      <c r="B129" s="54"/>
      <c r="C129" s="54"/>
      <c r="D129" s="54"/>
      <c r="E129" s="54"/>
      <c r="F129" s="54"/>
      <c r="G129" s="59" t="s">
        <v>93</v>
      </c>
      <c r="H129" s="60">
        <v>4</v>
      </c>
      <c r="I129" s="60">
        <v>4</v>
      </c>
      <c r="J129" s="60">
        <v>6</v>
      </c>
      <c r="K129" s="60">
        <v>8</v>
      </c>
      <c r="L129" s="60">
        <v>3</v>
      </c>
      <c r="M129" s="60">
        <v>3</v>
      </c>
      <c r="N129" s="60">
        <v>5</v>
      </c>
      <c r="O129" s="60">
        <v>3</v>
      </c>
      <c r="P129" s="60">
        <v>5</v>
      </c>
      <c r="Q129" s="61">
        <v>41</v>
      </c>
      <c r="S129" s="62" t="s">
        <v>74</v>
      </c>
      <c r="T129" s="42">
        <v>4</v>
      </c>
      <c r="U129" s="42">
        <v>3</v>
      </c>
      <c r="V129" s="42">
        <v>4</v>
      </c>
      <c r="W129" s="42">
        <v>5</v>
      </c>
      <c r="X129" s="42">
        <v>4</v>
      </c>
      <c r="Y129" s="42">
        <v>3</v>
      </c>
      <c r="Z129" s="42">
        <v>4</v>
      </c>
      <c r="AA129" s="42">
        <v>5</v>
      </c>
      <c r="AB129" s="42">
        <v>4</v>
      </c>
      <c r="AC129" s="55">
        <v>36</v>
      </c>
      <c r="AD129" s="40"/>
      <c r="AE129" s="2"/>
      <c r="AH129" s="2"/>
    </row>
    <row r="130" spans="1:35" x14ac:dyDescent="0.4">
      <c r="A130" s="63" t="s">
        <v>103</v>
      </c>
      <c r="B130" s="68">
        <v>17</v>
      </c>
      <c r="C130" s="69">
        <v>33</v>
      </c>
      <c r="D130" s="68" t="s">
        <v>23</v>
      </c>
      <c r="E130" s="69"/>
      <c r="F130" s="69"/>
      <c r="G130" s="68" t="s">
        <v>89</v>
      </c>
      <c r="H130" s="69">
        <v>6</v>
      </c>
      <c r="I130" s="69">
        <v>4</v>
      </c>
      <c r="J130" s="69">
        <v>5</v>
      </c>
      <c r="K130" s="69">
        <v>6</v>
      </c>
      <c r="L130" s="69">
        <v>6</v>
      </c>
      <c r="M130" s="69">
        <v>5</v>
      </c>
      <c r="N130" s="69">
        <v>4</v>
      </c>
      <c r="O130" s="69">
        <v>6</v>
      </c>
      <c r="P130" s="69">
        <v>5</v>
      </c>
      <c r="Q130" s="70">
        <v>47</v>
      </c>
      <c r="S130" s="65" t="s">
        <v>90</v>
      </c>
      <c r="T130" s="51">
        <v>6</v>
      </c>
      <c r="U130" s="51">
        <v>4</v>
      </c>
      <c r="V130" s="51">
        <v>5</v>
      </c>
      <c r="W130" s="51">
        <v>6</v>
      </c>
      <c r="X130" s="51">
        <v>6</v>
      </c>
      <c r="Y130" s="51">
        <v>5</v>
      </c>
      <c r="Z130" s="51">
        <v>4</v>
      </c>
      <c r="AA130" s="51">
        <v>6</v>
      </c>
      <c r="AB130" s="51">
        <v>5</v>
      </c>
      <c r="AC130" s="61">
        <v>47</v>
      </c>
      <c r="AD130" s="40"/>
      <c r="AE130" s="2"/>
      <c r="AH130" s="2"/>
    </row>
    <row r="131" spans="1:35" ht="15" thickBot="1" x14ac:dyDescent="0.45">
      <c r="A131" s="53"/>
      <c r="B131" s="54"/>
      <c r="C131" s="54"/>
      <c r="D131" s="54"/>
      <c r="E131" s="54"/>
      <c r="F131" s="54"/>
      <c r="G131" s="42" t="s">
        <v>91</v>
      </c>
      <c r="H131" s="42">
        <v>2</v>
      </c>
      <c r="I131" s="42">
        <v>1</v>
      </c>
      <c r="J131" s="42">
        <v>1</v>
      </c>
      <c r="K131" s="42">
        <v>1</v>
      </c>
      <c r="L131" s="42">
        <v>1</v>
      </c>
      <c r="M131" s="42">
        <v>1</v>
      </c>
      <c r="N131" s="42">
        <v>1</v>
      </c>
      <c r="O131" s="42">
        <v>1</v>
      </c>
      <c r="P131" s="42">
        <v>1</v>
      </c>
      <c r="Q131" s="55">
        <v>10</v>
      </c>
      <c r="S131" s="71" t="s">
        <v>92</v>
      </c>
      <c r="T131" s="71">
        <v>1</v>
      </c>
      <c r="U131" s="71">
        <v>1</v>
      </c>
      <c r="V131" s="71">
        <v>1</v>
      </c>
      <c r="W131" s="71">
        <v>1</v>
      </c>
      <c r="X131" s="71">
        <v>0</v>
      </c>
      <c r="Y131" s="71">
        <v>0</v>
      </c>
      <c r="Z131" s="71">
        <v>3</v>
      </c>
      <c r="AA131" s="71">
        <v>1</v>
      </c>
      <c r="AB131" s="71">
        <v>1</v>
      </c>
      <c r="AC131" s="70">
        <v>9</v>
      </c>
      <c r="AD131" s="40"/>
      <c r="AE131" s="2"/>
      <c r="AH131" s="2"/>
    </row>
    <row r="132" spans="1:35" ht="15" thickBot="1" x14ac:dyDescent="0.45">
      <c r="A132" s="72"/>
      <c r="B132" s="73"/>
      <c r="C132" s="73"/>
      <c r="D132" s="73"/>
      <c r="E132" s="73"/>
      <c r="F132" s="73"/>
      <c r="G132" s="74" t="s">
        <v>93</v>
      </c>
      <c r="H132" s="60">
        <v>4</v>
      </c>
      <c r="I132" s="60">
        <v>3</v>
      </c>
      <c r="J132" s="60">
        <v>4</v>
      </c>
      <c r="K132" s="60">
        <v>5</v>
      </c>
      <c r="L132" s="60">
        <v>5</v>
      </c>
      <c r="M132" s="60">
        <v>4</v>
      </c>
      <c r="N132" s="60">
        <v>3</v>
      </c>
      <c r="O132" s="60">
        <v>5</v>
      </c>
      <c r="P132" s="60">
        <v>4</v>
      </c>
      <c r="Q132" s="75">
        <v>37</v>
      </c>
      <c r="S132" s="62" t="s">
        <v>74</v>
      </c>
      <c r="T132" s="42">
        <v>4</v>
      </c>
      <c r="U132" s="42">
        <v>3</v>
      </c>
      <c r="V132" s="42">
        <v>4</v>
      </c>
      <c r="W132" s="42">
        <v>5</v>
      </c>
      <c r="X132" s="42">
        <v>4</v>
      </c>
      <c r="Y132" s="42">
        <v>3</v>
      </c>
      <c r="Z132" s="42">
        <v>4</v>
      </c>
      <c r="AA132" s="42">
        <v>5</v>
      </c>
      <c r="AB132" s="42">
        <v>4</v>
      </c>
      <c r="AC132" s="77">
        <v>36</v>
      </c>
      <c r="AD132" s="40">
        <v>17</v>
      </c>
      <c r="AE132" s="78">
        <v>16</v>
      </c>
      <c r="AF132" s="78">
        <v>2</v>
      </c>
      <c r="AG132" s="78">
        <v>4</v>
      </c>
      <c r="AH132" s="79">
        <v>2</v>
      </c>
      <c r="AI132" s="79">
        <v>8</v>
      </c>
    </row>
    <row r="133" spans="1:3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40"/>
    </row>
    <row r="134" spans="1:3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F134" s="83"/>
      <c r="AG134" s="83"/>
    </row>
    <row r="135" spans="1:3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35" x14ac:dyDescent="0.4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3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9" spans="1:35" x14ac:dyDescent="0.4">
      <c r="H139" s="26"/>
      <c r="T139" s="2"/>
      <c r="U139" s="26"/>
      <c r="V139" s="26"/>
    </row>
    <row r="140" spans="1:35" x14ac:dyDescent="0.4">
      <c r="H140" s="2"/>
      <c r="K140" s="84"/>
      <c r="T140" s="2"/>
      <c r="U140" s="2"/>
      <c r="V140" s="2"/>
    </row>
    <row r="141" spans="1:35" x14ac:dyDescent="0.4">
      <c r="H141" s="2"/>
      <c r="K141" s="84"/>
      <c r="T141" s="2"/>
      <c r="U141" s="2"/>
      <c r="V141" s="2"/>
      <c r="AF141" s="2" t="s">
        <v>104</v>
      </c>
    </row>
    <row r="142" spans="1:35" x14ac:dyDescent="0.4">
      <c r="H142" s="2"/>
      <c r="K142" s="84"/>
      <c r="T142" s="2"/>
      <c r="U142" s="2"/>
      <c r="V142" s="2"/>
      <c r="AI142" s="1" t="s">
        <v>104</v>
      </c>
    </row>
    <row r="143" spans="1:35" x14ac:dyDescent="0.4">
      <c r="H143" s="2"/>
      <c r="K143" s="84"/>
      <c r="T143" s="2"/>
      <c r="U143" s="2"/>
      <c r="V143" s="2"/>
    </row>
    <row r="144" spans="1:35" x14ac:dyDescent="0.4">
      <c r="H144" s="2"/>
      <c r="K144" s="84"/>
      <c r="T144" s="2"/>
      <c r="U144" s="2"/>
      <c r="V144" s="2"/>
      <c r="AI144" s="1" t="s">
        <v>104</v>
      </c>
    </row>
    <row r="145" spans="8:22" x14ac:dyDescent="0.4">
      <c r="H145" s="2"/>
      <c r="K145" s="84"/>
      <c r="T145" s="2"/>
      <c r="U145" s="2"/>
      <c r="V145" s="2"/>
    </row>
    <row r="146" spans="8:22" x14ac:dyDescent="0.4">
      <c r="H146" s="2"/>
      <c r="K146" s="84"/>
      <c r="T146" s="2"/>
      <c r="U146" s="2"/>
      <c r="V146" s="2"/>
    </row>
    <row r="147" spans="8:22" x14ac:dyDescent="0.4">
      <c r="H147" s="2"/>
      <c r="K147" s="84"/>
      <c r="T147" s="2"/>
      <c r="U147" s="2"/>
      <c r="V147" s="2"/>
    </row>
    <row r="148" spans="8:22" x14ac:dyDescent="0.4">
      <c r="H148" s="2"/>
      <c r="K148" s="84"/>
      <c r="T148" s="2"/>
      <c r="U148" s="2"/>
      <c r="V148" s="2"/>
    </row>
    <row r="149" spans="8:22" x14ac:dyDescent="0.4">
      <c r="H149" s="2"/>
      <c r="K149" s="84"/>
      <c r="T149" s="2"/>
      <c r="U149" s="2"/>
      <c r="V149" s="2"/>
    </row>
    <row r="150" spans="8:22" x14ac:dyDescent="0.4">
      <c r="H150" s="2"/>
      <c r="K150" s="84"/>
      <c r="T150" s="2"/>
      <c r="U150" s="2"/>
      <c r="V150" s="2"/>
    </row>
    <row r="151" spans="8:22" x14ac:dyDescent="0.4">
      <c r="H151" s="2"/>
      <c r="K151" s="84"/>
      <c r="T151" s="2"/>
      <c r="U151" s="2"/>
      <c r="V151" s="2"/>
    </row>
    <row r="152" spans="8:22" x14ac:dyDescent="0.4">
      <c r="H152" s="2"/>
      <c r="K152" s="84"/>
      <c r="T152" s="2"/>
      <c r="U152" s="2"/>
      <c r="V152" s="2"/>
    </row>
    <row r="153" spans="8:22" x14ac:dyDescent="0.4">
      <c r="H153" s="2"/>
      <c r="K153" s="84"/>
      <c r="T153" s="2"/>
      <c r="U153" s="2"/>
      <c r="V153" s="2"/>
    </row>
    <row r="154" spans="8:22" x14ac:dyDescent="0.4">
      <c r="H154" s="2"/>
      <c r="K154" s="84"/>
      <c r="T154" s="2"/>
      <c r="U154" s="2"/>
      <c r="V154" s="2"/>
    </row>
    <row r="155" spans="8:22" x14ac:dyDescent="0.4">
      <c r="H155" s="2"/>
      <c r="K155" s="84"/>
      <c r="T155" s="2"/>
      <c r="U155" s="2"/>
      <c r="V155" s="2"/>
    </row>
    <row r="156" spans="8:22" x14ac:dyDescent="0.4">
      <c r="H156" s="2"/>
      <c r="K156" s="84"/>
      <c r="T156" s="2"/>
      <c r="U156" s="2"/>
      <c r="V156" s="2"/>
    </row>
    <row r="157" spans="8:22" x14ac:dyDescent="0.4">
      <c r="H157" s="2"/>
      <c r="K157" s="84"/>
      <c r="T157" s="2"/>
      <c r="U157" s="2"/>
      <c r="V157" s="2"/>
    </row>
  </sheetData>
  <mergeCells count="2">
    <mergeCell ref="A2:B2"/>
    <mergeCell ref="T7:W7"/>
  </mergeCells>
  <conditionalFormatting sqref="C21 C35 C49 C63 C77 C91 C105 C119">
    <cfRule type="cellIs" dxfId="21" priority="1" stopIfTrue="1" operator="greaterThan">
      <formula>36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1]!'WeeksScoringTasks(&quot;Week2&quot;)'">
                <anchor moveWithCells="1" sizeWithCells="1">
                  <from>
                    <xdr:col>7</xdr:col>
                    <xdr:colOff>212271</xdr:colOff>
                    <xdr:row>0</xdr:row>
                    <xdr:rowOff>125186</xdr:rowOff>
                  </from>
                  <to>
                    <xdr:col>13</xdr:col>
                    <xdr:colOff>32657</xdr:colOff>
                    <xdr:row>2</xdr:row>
                    <xdr:rowOff>97971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A878F-181E-4585-BA27-BCC878525467}">
  <dimension ref="A1:AL157"/>
  <sheetViews>
    <sheetView workbookViewId="0">
      <selection activeCell="L16" sqref="L16"/>
    </sheetView>
  </sheetViews>
  <sheetFormatPr defaultColWidth="9" defaultRowHeight="14.6" x14ac:dyDescent="0.4"/>
  <cols>
    <col min="1" max="1" width="11.4609375" style="1" customWidth="1"/>
    <col min="2" max="3" width="9" style="1"/>
    <col min="4" max="4" width="18.4609375" style="1" customWidth="1"/>
    <col min="5" max="5" width="5.07421875" style="1" bestFit="1" customWidth="1"/>
    <col min="6" max="6" width="9.07421875" style="1" bestFit="1" customWidth="1"/>
    <col min="7" max="7" width="9.07421875" style="1" customWidth="1"/>
    <col min="8" max="16" width="4.07421875" style="1" customWidth="1"/>
    <col min="17" max="17" width="6.4609375" style="1" customWidth="1"/>
    <col min="18" max="18" width="6.53515625" style="1" customWidth="1"/>
    <col min="19" max="19" width="9" style="1"/>
    <col min="20" max="28" width="5" style="1" customWidth="1"/>
    <col min="29" max="29" width="7.07421875" style="1" customWidth="1"/>
    <col min="30" max="30" width="7.07421875" style="82" customWidth="1"/>
    <col min="31" max="31" width="8.84375" style="1" customWidth="1"/>
    <col min="32" max="33" width="8.84375" style="2" customWidth="1"/>
    <col min="34" max="35" width="8.84375" style="1" customWidth="1"/>
    <col min="36" max="256" width="9" style="1"/>
    <col min="257" max="257" width="11.4609375" style="1" customWidth="1"/>
    <col min="258" max="259" width="9" style="1"/>
    <col min="260" max="260" width="18.4609375" style="1" customWidth="1"/>
    <col min="261" max="261" width="5.07421875" style="1" bestFit="1" customWidth="1"/>
    <col min="262" max="262" width="9.07421875" style="1" bestFit="1" customWidth="1"/>
    <col min="263" max="263" width="9.07421875" style="1" customWidth="1"/>
    <col min="264" max="272" width="4.07421875" style="1" customWidth="1"/>
    <col min="273" max="273" width="6.4609375" style="1" customWidth="1"/>
    <col min="274" max="274" width="6.53515625" style="1" customWidth="1"/>
    <col min="275" max="275" width="9" style="1"/>
    <col min="276" max="284" width="5" style="1" customWidth="1"/>
    <col min="285" max="286" width="7.07421875" style="1" customWidth="1"/>
    <col min="287" max="291" width="8.84375" style="1" customWidth="1"/>
    <col min="292" max="512" width="9" style="1"/>
    <col min="513" max="513" width="11.4609375" style="1" customWidth="1"/>
    <col min="514" max="515" width="9" style="1"/>
    <col min="516" max="516" width="18.4609375" style="1" customWidth="1"/>
    <col min="517" max="517" width="5.07421875" style="1" bestFit="1" customWidth="1"/>
    <col min="518" max="518" width="9.07421875" style="1" bestFit="1" customWidth="1"/>
    <col min="519" max="519" width="9.07421875" style="1" customWidth="1"/>
    <col min="520" max="528" width="4.07421875" style="1" customWidth="1"/>
    <col min="529" max="529" width="6.4609375" style="1" customWidth="1"/>
    <col min="530" max="530" width="6.53515625" style="1" customWidth="1"/>
    <col min="531" max="531" width="9" style="1"/>
    <col min="532" max="540" width="5" style="1" customWidth="1"/>
    <col min="541" max="542" width="7.07421875" style="1" customWidth="1"/>
    <col min="543" max="547" width="8.84375" style="1" customWidth="1"/>
    <col min="548" max="768" width="9" style="1"/>
    <col min="769" max="769" width="11.4609375" style="1" customWidth="1"/>
    <col min="770" max="771" width="9" style="1"/>
    <col min="772" max="772" width="18.4609375" style="1" customWidth="1"/>
    <col min="773" max="773" width="5.07421875" style="1" bestFit="1" customWidth="1"/>
    <col min="774" max="774" width="9.07421875" style="1" bestFit="1" customWidth="1"/>
    <col min="775" max="775" width="9.07421875" style="1" customWidth="1"/>
    <col min="776" max="784" width="4.07421875" style="1" customWidth="1"/>
    <col min="785" max="785" width="6.4609375" style="1" customWidth="1"/>
    <col min="786" max="786" width="6.53515625" style="1" customWidth="1"/>
    <col min="787" max="787" width="9" style="1"/>
    <col min="788" max="796" width="5" style="1" customWidth="1"/>
    <col min="797" max="798" width="7.07421875" style="1" customWidth="1"/>
    <col min="799" max="803" width="8.84375" style="1" customWidth="1"/>
    <col min="804" max="1024" width="9" style="1"/>
    <col min="1025" max="1025" width="11.4609375" style="1" customWidth="1"/>
    <col min="1026" max="1027" width="9" style="1"/>
    <col min="1028" max="1028" width="18.4609375" style="1" customWidth="1"/>
    <col min="1029" max="1029" width="5.07421875" style="1" bestFit="1" customWidth="1"/>
    <col min="1030" max="1030" width="9.07421875" style="1" bestFit="1" customWidth="1"/>
    <col min="1031" max="1031" width="9.07421875" style="1" customWidth="1"/>
    <col min="1032" max="1040" width="4.07421875" style="1" customWidth="1"/>
    <col min="1041" max="1041" width="6.4609375" style="1" customWidth="1"/>
    <col min="1042" max="1042" width="6.53515625" style="1" customWidth="1"/>
    <col min="1043" max="1043" width="9" style="1"/>
    <col min="1044" max="1052" width="5" style="1" customWidth="1"/>
    <col min="1053" max="1054" width="7.07421875" style="1" customWidth="1"/>
    <col min="1055" max="1059" width="8.84375" style="1" customWidth="1"/>
    <col min="1060" max="1280" width="9" style="1"/>
    <col min="1281" max="1281" width="11.4609375" style="1" customWidth="1"/>
    <col min="1282" max="1283" width="9" style="1"/>
    <col min="1284" max="1284" width="18.4609375" style="1" customWidth="1"/>
    <col min="1285" max="1285" width="5.07421875" style="1" bestFit="1" customWidth="1"/>
    <col min="1286" max="1286" width="9.07421875" style="1" bestFit="1" customWidth="1"/>
    <col min="1287" max="1287" width="9.07421875" style="1" customWidth="1"/>
    <col min="1288" max="1296" width="4.07421875" style="1" customWidth="1"/>
    <col min="1297" max="1297" width="6.4609375" style="1" customWidth="1"/>
    <col min="1298" max="1298" width="6.53515625" style="1" customWidth="1"/>
    <col min="1299" max="1299" width="9" style="1"/>
    <col min="1300" max="1308" width="5" style="1" customWidth="1"/>
    <col min="1309" max="1310" width="7.07421875" style="1" customWidth="1"/>
    <col min="1311" max="1315" width="8.84375" style="1" customWidth="1"/>
    <col min="1316" max="1536" width="9" style="1"/>
    <col min="1537" max="1537" width="11.4609375" style="1" customWidth="1"/>
    <col min="1538" max="1539" width="9" style="1"/>
    <col min="1540" max="1540" width="18.4609375" style="1" customWidth="1"/>
    <col min="1541" max="1541" width="5.07421875" style="1" bestFit="1" customWidth="1"/>
    <col min="1542" max="1542" width="9.07421875" style="1" bestFit="1" customWidth="1"/>
    <col min="1543" max="1543" width="9.07421875" style="1" customWidth="1"/>
    <col min="1544" max="1552" width="4.07421875" style="1" customWidth="1"/>
    <col min="1553" max="1553" width="6.4609375" style="1" customWidth="1"/>
    <col min="1554" max="1554" width="6.53515625" style="1" customWidth="1"/>
    <col min="1555" max="1555" width="9" style="1"/>
    <col min="1556" max="1564" width="5" style="1" customWidth="1"/>
    <col min="1565" max="1566" width="7.07421875" style="1" customWidth="1"/>
    <col min="1567" max="1571" width="8.84375" style="1" customWidth="1"/>
    <col min="1572" max="1792" width="9" style="1"/>
    <col min="1793" max="1793" width="11.4609375" style="1" customWidth="1"/>
    <col min="1794" max="1795" width="9" style="1"/>
    <col min="1796" max="1796" width="18.4609375" style="1" customWidth="1"/>
    <col min="1797" max="1797" width="5.07421875" style="1" bestFit="1" customWidth="1"/>
    <col min="1798" max="1798" width="9.07421875" style="1" bestFit="1" customWidth="1"/>
    <col min="1799" max="1799" width="9.07421875" style="1" customWidth="1"/>
    <col min="1800" max="1808" width="4.07421875" style="1" customWidth="1"/>
    <col min="1809" max="1809" width="6.4609375" style="1" customWidth="1"/>
    <col min="1810" max="1810" width="6.53515625" style="1" customWidth="1"/>
    <col min="1811" max="1811" width="9" style="1"/>
    <col min="1812" max="1820" width="5" style="1" customWidth="1"/>
    <col min="1821" max="1822" width="7.07421875" style="1" customWidth="1"/>
    <col min="1823" max="1827" width="8.84375" style="1" customWidth="1"/>
    <col min="1828" max="2048" width="9" style="1"/>
    <col min="2049" max="2049" width="11.4609375" style="1" customWidth="1"/>
    <col min="2050" max="2051" width="9" style="1"/>
    <col min="2052" max="2052" width="18.4609375" style="1" customWidth="1"/>
    <col min="2053" max="2053" width="5.07421875" style="1" bestFit="1" customWidth="1"/>
    <col min="2054" max="2054" width="9.07421875" style="1" bestFit="1" customWidth="1"/>
    <col min="2055" max="2055" width="9.07421875" style="1" customWidth="1"/>
    <col min="2056" max="2064" width="4.07421875" style="1" customWidth="1"/>
    <col min="2065" max="2065" width="6.4609375" style="1" customWidth="1"/>
    <col min="2066" max="2066" width="6.53515625" style="1" customWidth="1"/>
    <col min="2067" max="2067" width="9" style="1"/>
    <col min="2068" max="2076" width="5" style="1" customWidth="1"/>
    <col min="2077" max="2078" width="7.07421875" style="1" customWidth="1"/>
    <col min="2079" max="2083" width="8.84375" style="1" customWidth="1"/>
    <col min="2084" max="2304" width="9" style="1"/>
    <col min="2305" max="2305" width="11.4609375" style="1" customWidth="1"/>
    <col min="2306" max="2307" width="9" style="1"/>
    <col min="2308" max="2308" width="18.4609375" style="1" customWidth="1"/>
    <col min="2309" max="2309" width="5.07421875" style="1" bestFit="1" customWidth="1"/>
    <col min="2310" max="2310" width="9.07421875" style="1" bestFit="1" customWidth="1"/>
    <col min="2311" max="2311" width="9.07421875" style="1" customWidth="1"/>
    <col min="2312" max="2320" width="4.07421875" style="1" customWidth="1"/>
    <col min="2321" max="2321" width="6.4609375" style="1" customWidth="1"/>
    <col min="2322" max="2322" width="6.53515625" style="1" customWidth="1"/>
    <col min="2323" max="2323" width="9" style="1"/>
    <col min="2324" max="2332" width="5" style="1" customWidth="1"/>
    <col min="2333" max="2334" width="7.07421875" style="1" customWidth="1"/>
    <col min="2335" max="2339" width="8.84375" style="1" customWidth="1"/>
    <col min="2340" max="2560" width="9" style="1"/>
    <col min="2561" max="2561" width="11.4609375" style="1" customWidth="1"/>
    <col min="2562" max="2563" width="9" style="1"/>
    <col min="2564" max="2564" width="18.4609375" style="1" customWidth="1"/>
    <col min="2565" max="2565" width="5.07421875" style="1" bestFit="1" customWidth="1"/>
    <col min="2566" max="2566" width="9.07421875" style="1" bestFit="1" customWidth="1"/>
    <col min="2567" max="2567" width="9.07421875" style="1" customWidth="1"/>
    <col min="2568" max="2576" width="4.07421875" style="1" customWidth="1"/>
    <col min="2577" max="2577" width="6.4609375" style="1" customWidth="1"/>
    <col min="2578" max="2578" width="6.53515625" style="1" customWidth="1"/>
    <col min="2579" max="2579" width="9" style="1"/>
    <col min="2580" max="2588" width="5" style="1" customWidth="1"/>
    <col min="2589" max="2590" width="7.07421875" style="1" customWidth="1"/>
    <col min="2591" max="2595" width="8.84375" style="1" customWidth="1"/>
    <col min="2596" max="2816" width="9" style="1"/>
    <col min="2817" max="2817" width="11.4609375" style="1" customWidth="1"/>
    <col min="2818" max="2819" width="9" style="1"/>
    <col min="2820" max="2820" width="18.4609375" style="1" customWidth="1"/>
    <col min="2821" max="2821" width="5.07421875" style="1" bestFit="1" customWidth="1"/>
    <col min="2822" max="2822" width="9.07421875" style="1" bestFit="1" customWidth="1"/>
    <col min="2823" max="2823" width="9.07421875" style="1" customWidth="1"/>
    <col min="2824" max="2832" width="4.07421875" style="1" customWidth="1"/>
    <col min="2833" max="2833" width="6.4609375" style="1" customWidth="1"/>
    <col min="2834" max="2834" width="6.53515625" style="1" customWidth="1"/>
    <col min="2835" max="2835" width="9" style="1"/>
    <col min="2836" max="2844" width="5" style="1" customWidth="1"/>
    <col min="2845" max="2846" width="7.07421875" style="1" customWidth="1"/>
    <col min="2847" max="2851" width="8.84375" style="1" customWidth="1"/>
    <col min="2852" max="3072" width="9" style="1"/>
    <col min="3073" max="3073" width="11.4609375" style="1" customWidth="1"/>
    <col min="3074" max="3075" width="9" style="1"/>
    <col min="3076" max="3076" width="18.4609375" style="1" customWidth="1"/>
    <col min="3077" max="3077" width="5.07421875" style="1" bestFit="1" customWidth="1"/>
    <col min="3078" max="3078" width="9.07421875" style="1" bestFit="1" customWidth="1"/>
    <col min="3079" max="3079" width="9.07421875" style="1" customWidth="1"/>
    <col min="3080" max="3088" width="4.07421875" style="1" customWidth="1"/>
    <col min="3089" max="3089" width="6.4609375" style="1" customWidth="1"/>
    <col min="3090" max="3090" width="6.53515625" style="1" customWidth="1"/>
    <col min="3091" max="3091" width="9" style="1"/>
    <col min="3092" max="3100" width="5" style="1" customWidth="1"/>
    <col min="3101" max="3102" width="7.07421875" style="1" customWidth="1"/>
    <col min="3103" max="3107" width="8.84375" style="1" customWidth="1"/>
    <col min="3108" max="3328" width="9" style="1"/>
    <col min="3329" max="3329" width="11.4609375" style="1" customWidth="1"/>
    <col min="3330" max="3331" width="9" style="1"/>
    <col min="3332" max="3332" width="18.4609375" style="1" customWidth="1"/>
    <col min="3333" max="3333" width="5.07421875" style="1" bestFit="1" customWidth="1"/>
    <col min="3334" max="3334" width="9.07421875" style="1" bestFit="1" customWidth="1"/>
    <col min="3335" max="3335" width="9.07421875" style="1" customWidth="1"/>
    <col min="3336" max="3344" width="4.07421875" style="1" customWidth="1"/>
    <col min="3345" max="3345" width="6.4609375" style="1" customWidth="1"/>
    <col min="3346" max="3346" width="6.53515625" style="1" customWidth="1"/>
    <col min="3347" max="3347" width="9" style="1"/>
    <col min="3348" max="3356" width="5" style="1" customWidth="1"/>
    <col min="3357" max="3358" width="7.07421875" style="1" customWidth="1"/>
    <col min="3359" max="3363" width="8.84375" style="1" customWidth="1"/>
    <col min="3364" max="3584" width="9" style="1"/>
    <col min="3585" max="3585" width="11.4609375" style="1" customWidth="1"/>
    <col min="3586" max="3587" width="9" style="1"/>
    <col min="3588" max="3588" width="18.4609375" style="1" customWidth="1"/>
    <col min="3589" max="3589" width="5.07421875" style="1" bestFit="1" customWidth="1"/>
    <col min="3590" max="3590" width="9.07421875" style="1" bestFit="1" customWidth="1"/>
    <col min="3591" max="3591" width="9.07421875" style="1" customWidth="1"/>
    <col min="3592" max="3600" width="4.07421875" style="1" customWidth="1"/>
    <col min="3601" max="3601" width="6.4609375" style="1" customWidth="1"/>
    <col min="3602" max="3602" width="6.53515625" style="1" customWidth="1"/>
    <col min="3603" max="3603" width="9" style="1"/>
    <col min="3604" max="3612" width="5" style="1" customWidth="1"/>
    <col min="3613" max="3614" width="7.07421875" style="1" customWidth="1"/>
    <col min="3615" max="3619" width="8.84375" style="1" customWidth="1"/>
    <col min="3620" max="3840" width="9" style="1"/>
    <col min="3841" max="3841" width="11.4609375" style="1" customWidth="1"/>
    <col min="3842" max="3843" width="9" style="1"/>
    <col min="3844" max="3844" width="18.4609375" style="1" customWidth="1"/>
    <col min="3845" max="3845" width="5.07421875" style="1" bestFit="1" customWidth="1"/>
    <col min="3846" max="3846" width="9.07421875" style="1" bestFit="1" customWidth="1"/>
    <col min="3847" max="3847" width="9.07421875" style="1" customWidth="1"/>
    <col min="3848" max="3856" width="4.07421875" style="1" customWidth="1"/>
    <col min="3857" max="3857" width="6.4609375" style="1" customWidth="1"/>
    <col min="3858" max="3858" width="6.53515625" style="1" customWidth="1"/>
    <col min="3859" max="3859" width="9" style="1"/>
    <col min="3860" max="3868" width="5" style="1" customWidth="1"/>
    <col min="3869" max="3870" width="7.07421875" style="1" customWidth="1"/>
    <col min="3871" max="3875" width="8.84375" style="1" customWidth="1"/>
    <col min="3876" max="4096" width="9" style="1"/>
    <col min="4097" max="4097" width="11.4609375" style="1" customWidth="1"/>
    <col min="4098" max="4099" width="9" style="1"/>
    <col min="4100" max="4100" width="18.4609375" style="1" customWidth="1"/>
    <col min="4101" max="4101" width="5.07421875" style="1" bestFit="1" customWidth="1"/>
    <col min="4102" max="4102" width="9.07421875" style="1" bestFit="1" customWidth="1"/>
    <col min="4103" max="4103" width="9.07421875" style="1" customWidth="1"/>
    <col min="4104" max="4112" width="4.07421875" style="1" customWidth="1"/>
    <col min="4113" max="4113" width="6.4609375" style="1" customWidth="1"/>
    <col min="4114" max="4114" width="6.53515625" style="1" customWidth="1"/>
    <col min="4115" max="4115" width="9" style="1"/>
    <col min="4116" max="4124" width="5" style="1" customWidth="1"/>
    <col min="4125" max="4126" width="7.07421875" style="1" customWidth="1"/>
    <col min="4127" max="4131" width="8.84375" style="1" customWidth="1"/>
    <col min="4132" max="4352" width="9" style="1"/>
    <col min="4353" max="4353" width="11.4609375" style="1" customWidth="1"/>
    <col min="4354" max="4355" width="9" style="1"/>
    <col min="4356" max="4356" width="18.4609375" style="1" customWidth="1"/>
    <col min="4357" max="4357" width="5.07421875" style="1" bestFit="1" customWidth="1"/>
    <col min="4358" max="4358" width="9.07421875" style="1" bestFit="1" customWidth="1"/>
    <col min="4359" max="4359" width="9.07421875" style="1" customWidth="1"/>
    <col min="4360" max="4368" width="4.07421875" style="1" customWidth="1"/>
    <col min="4369" max="4369" width="6.4609375" style="1" customWidth="1"/>
    <col min="4370" max="4370" width="6.53515625" style="1" customWidth="1"/>
    <col min="4371" max="4371" width="9" style="1"/>
    <col min="4372" max="4380" width="5" style="1" customWidth="1"/>
    <col min="4381" max="4382" width="7.07421875" style="1" customWidth="1"/>
    <col min="4383" max="4387" width="8.84375" style="1" customWidth="1"/>
    <col min="4388" max="4608" width="9" style="1"/>
    <col min="4609" max="4609" width="11.4609375" style="1" customWidth="1"/>
    <col min="4610" max="4611" width="9" style="1"/>
    <col min="4612" max="4612" width="18.4609375" style="1" customWidth="1"/>
    <col min="4613" max="4613" width="5.07421875" style="1" bestFit="1" customWidth="1"/>
    <col min="4614" max="4614" width="9.07421875" style="1" bestFit="1" customWidth="1"/>
    <col min="4615" max="4615" width="9.07421875" style="1" customWidth="1"/>
    <col min="4616" max="4624" width="4.07421875" style="1" customWidth="1"/>
    <col min="4625" max="4625" width="6.4609375" style="1" customWidth="1"/>
    <col min="4626" max="4626" width="6.53515625" style="1" customWidth="1"/>
    <col min="4627" max="4627" width="9" style="1"/>
    <col min="4628" max="4636" width="5" style="1" customWidth="1"/>
    <col min="4637" max="4638" width="7.07421875" style="1" customWidth="1"/>
    <col min="4639" max="4643" width="8.84375" style="1" customWidth="1"/>
    <col min="4644" max="4864" width="9" style="1"/>
    <col min="4865" max="4865" width="11.4609375" style="1" customWidth="1"/>
    <col min="4866" max="4867" width="9" style="1"/>
    <col min="4868" max="4868" width="18.4609375" style="1" customWidth="1"/>
    <col min="4869" max="4869" width="5.07421875" style="1" bestFit="1" customWidth="1"/>
    <col min="4870" max="4870" width="9.07421875" style="1" bestFit="1" customWidth="1"/>
    <col min="4871" max="4871" width="9.07421875" style="1" customWidth="1"/>
    <col min="4872" max="4880" width="4.07421875" style="1" customWidth="1"/>
    <col min="4881" max="4881" width="6.4609375" style="1" customWidth="1"/>
    <col min="4882" max="4882" width="6.53515625" style="1" customWidth="1"/>
    <col min="4883" max="4883" width="9" style="1"/>
    <col min="4884" max="4892" width="5" style="1" customWidth="1"/>
    <col min="4893" max="4894" width="7.07421875" style="1" customWidth="1"/>
    <col min="4895" max="4899" width="8.84375" style="1" customWidth="1"/>
    <col min="4900" max="5120" width="9" style="1"/>
    <col min="5121" max="5121" width="11.4609375" style="1" customWidth="1"/>
    <col min="5122" max="5123" width="9" style="1"/>
    <col min="5124" max="5124" width="18.4609375" style="1" customWidth="1"/>
    <col min="5125" max="5125" width="5.07421875" style="1" bestFit="1" customWidth="1"/>
    <col min="5126" max="5126" width="9.07421875" style="1" bestFit="1" customWidth="1"/>
    <col min="5127" max="5127" width="9.07421875" style="1" customWidth="1"/>
    <col min="5128" max="5136" width="4.07421875" style="1" customWidth="1"/>
    <col min="5137" max="5137" width="6.4609375" style="1" customWidth="1"/>
    <col min="5138" max="5138" width="6.53515625" style="1" customWidth="1"/>
    <col min="5139" max="5139" width="9" style="1"/>
    <col min="5140" max="5148" width="5" style="1" customWidth="1"/>
    <col min="5149" max="5150" width="7.07421875" style="1" customWidth="1"/>
    <col min="5151" max="5155" width="8.84375" style="1" customWidth="1"/>
    <col min="5156" max="5376" width="9" style="1"/>
    <col min="5377" max="5377" width="11.4609375" style="1" customWidth="1"/>
    <col min="5378" max="5379" width="9" style="1"/>
    <col min="5380" max="5380" width="18.4609375" style="1" customWidth="1"/>
    <col min="5381" max="5381" width="5.07421875" style="1" bestFit="1" customWidth="1"/>
    <col min="5382" max="5382" width="9.07421875" style="1" bestFit="1" customWidth="1"/>
    <col min="5383" max="5383" width="9.07421875" style="1" customWidth="1"/>
    <col min="5384" max="5392" width="4.07421875" style="1" customWidth="1"/>
    <col min="5393" max="5393" width="6.4609375" style="1" customWidth="1"/>
    <col min="5394" max="5394" width="6.53515625" style="1" customWidth="1"/>
    <col min="5395" max="5395" width="9" style="1"/>
    <col min="5396" max="5404" width="5" style="1" customWidth="1"/>
    <col min="5405" max="5406" width="7.07421875" style="1" customWidth="1"/>
    <col min="5407" max="5411" width="8.84375" style="1" customWidth="1"/>
    <col min="5412" max="5632" width="9" style="1"/>
    <col min="5633" max="5633" width="11.4609375" style="1" customWidth="1"/>
    <col min="5634" max="5635" width="9" style="1"/>
    <col min="5636" max="5636" width="18.4609375" style="1" customWidth="1"/>
    <col min="5637" max="5637" width="5.07421875" style="1" bestFit="1" customWidth="1"/>
    <col min="5638" max="5638" width="9.07421875" style="1" bestFit="1" customWidth="1"/>
    <col min="5639" max="5639" width="9.07421875" style="1" customWidth="1"/>
    <col min="5640" max="5648" width="4.07421875" style="1" customWidth="1"/>
    <col min="5649" max="5649" width="6.4609375" style="1" customWidth="1"/>
    <col min="5650" max="5650" width="6.53515625" style="1" customWidth="1"/>
    <col min="5651" max="5651" width="9" style="1"/>
    <col min="5652" max="5660" width="5" style="1" customWidth="1"/>
    <col min="5661" max="5662" width="7.07421875" style="1" customWidth="1"/>
    <col min="5663" max="5667" width="8.84375" style="1" customWidth="1"/>
    <col min="5668" max="5888" width="9" style="1"/>
    <col min="5889" max="5889" width="11.4609375" style="1" customWidth="1"/>
    <col min="5890" max="5891" width="9" style="1"/>
    <col min="5892" max="5892" width="18.4609375" style="1" customWidth="1"/>
    <col min="5893" max="5893" width="5.07421875" style="1" bestFit="1" customWidth="1"/>
    <col min="5894" max="5894" width="9.07421875" style="1" bestFit="1" customWidth="1"/>
    <col min="5895" max="5895" width="9.07421875" style="1" customWidth="1"/>
    <col min="5896" max="5904" width="4.07421875" style="1" customWidth="1"/>
    <col min="5905" max="5905" width="6.4609375" style="1" customWidth="1"/>
    <col min="5906" max="5906" width="6.53515625" style="1" customWidth="1"/>
    <col min="5907" max="5907" width="9" style="1"/>
    <col min="5908" max="5916" width="5" style="1" customWidth="1"/>
    <col min="5917" max="5918" width="7.07421875" style="1" customWidth="1"/>
    <col min="5919" max="5923" width="8.84375" style="1" customWidth="1"/>
    <col min="5924" max="6144" width="9" style="1"/>
    <col min="6145" max="6145" width="11.4609375" style="1" customWidth="1"/>
    <col min="6146" max="6147" width="9" style="1"/>
    <col min="6148" max="6148" width="18.4609375" style="1" customWidth="1"/>
    <col min="6149" max="6149" width="5.07421875" style="1" bestFit="1" customWidth="1"/>
    <col min="6150" max="6150" width="9.07421875" style="1" bestFit="1" customWidth="1"/>
    <col min="6151" max="6151" width="9.07421875" style="1" customWidth="1"/>
    <col min="6152" max="6160" width="4.07421875" style="1" customWidth="1"/>
    <col min="6161" max="6161" width="6.4609375" style="1" customWidth="1"/>
    <col min="6162" max="6162" width="6.53515625" style="1" customWidth="1"/>
    <col min="6163" max="6163" width="9" style="1"/>
    <col min="6164" max="6172" width="5" style="1" customWidth="1"/>
    <col min="6173" max="6174" width="7.07421875" style="1" customWidth="1"/>
    <col min="6175" max="6179" width="8.84375" style="1" customWidth="1"/>
    <col min="6180" max="6400" width="9" style="1"/>
    <col min="6401" max="6401" width="11.4609375" style="1" customWidth="1"/>
    <col min="6402" max="6403" width="9" style="1"/>
    <col min="6404" max="6404" width="18.4609375" style="1" customWidth="1"/>
    <col min="6405" max="6405" width="5.07421875" style="1" bestFit="1" customWidth="1"/>
    <col min="6406" max="6406" width="9.07421875" style="1" bestFit="1" customWidth="1"/>
    <col min="6407" max="6407" width="9.07421875" style="1" customWidth="1"/>
    <col min="6408" max="6416" width="4.07421875" style="1" customWidth="1"/>
    <col min="6417" max="6417" width="6.4609375" style="1" customWidth="1"/>
    <col min="6418" max="6418" width="6.53515625" style="1" customWidth="1"/>
    <col min="6419" max="6419" width="9" style="1"/>
    <col min="6420" max="6428" width="5" style="1" customWidth="1"/>
    <col min="6429" max="6430" width="7.07421875" style="1" customWidth="1"/>
    <col min="6431" max="6435" width="8.84375" style="1" customWidth="1"/>
    <col min="6436" max="6656" width="9" style="1"/>
    <col min="6657" max="6657" width="11.4609375" style="1" customWidth="1"/>
    <col min="6658" max="6659" width="9" style="1"/>
    <col min="6660" max="6660" width="18.4609375" style="1" customWidth="1"/>
    <col min="6661" max="6661" width="5.07421875" style="1" bestFit="1" customWidth="1"/>
    <col min="6662" max="6662" width="9.07421875" style="1" bestFit="1" customWidth="1"/>
    <col min="6663" max="6663" width="9.07421875" style="1" customWidth="1"/>
    <col min="6664" max="6672" width="4.07421875" style="1" customWidth="1"/>
    <col min="6673" max="6673" width="6.4609375" style="1" customWidth="1"/>
    <col min="6674" max="6674" width="6.53515625" style="1" customWidth="1"/>
    <col min="6675" max="6675" width="9" style="1"/>
    <col min="6676" max="6684" width="5" style="1" customWidth="1"/>
    <col min="6685" max="6686" width="7.07421875" style="1" customWidth="1"/>
    <col min="6687" max="6691" width="8.84375" style="1" customWidth="1"/>
    <col min="6692" max="6912" width="9" style="1"/>
    <col min="6913" max="6913" width="11.4609375" style="1" customWidth="1"/>
    <col min="6914" max="6915" width="9" style="1"/>
    <col min="6916" max="6916" width="18.4609375" style="1" customWidth="1"/>
    <col min="6917" max="6917" width="5.07421875" style="1" bestFit="1" customWidth="1"/>
    <col min="6918" max="6918" width="9.07421875" style="1" bestFit="1" customWidth="1"/>
    <col min="6919" max="6919" width="9.07421875" style="1" customWidth="1"/>
    <col min="6920" max="6928" width="4.07421875" style="1" customWidth="1"/>
    <col min="6929" max="6929" width="6.4609375" style="1" customWidth="1"/>
    <col min="6930" max="6930" width="6.53515625" style="1" customWidth="1"/>
    <col min="6931" max="6931" width="9" style="1"/>
    <col min="6932" max="6940" width="5" style="1" customWidth="1"/>
    <col min="6941" max="6942" width="7.07421875" style="1" customWidth="1"/>
    <col min="6943" max="6947" width="8.84375" style="1" customWidth="1"/>
    <col min="6948" max="7168" width="9" style="1"/>
    <col min="7169" max="7169" width="11.4609375" style="1" customWidth="1"/>
    <col min="7170" max="7171" width="9" style="1"/>
    <col min="7172" max="7172" width="18.4609375" style="1" customWidth="1"/>
    <col min="7173" max="7173" width="5.07421875" style="1" bestFit="1" customWidth="1"/>
    <col min="7174" max="7174" width="9.07421875" style="1" bestFit="1" customWidth="1"/>
    <col min="7175" max="7175" width="9.07421875" style="1" customWidth="1"/>
    <col min="7176" max="7184" width="4.07421875" style="1" customWidth="1"/>
    <col min="7185" max="7185" width="6.4609375" style="1" customWidth="1"/>
    <col min="7186" max="7186" width="6.53515625" style="1" customWidth="1"/>
    <col min="7187" max="7187" width="9" style="1"/>
    <col min="7188" max="7196" width="5" style="1" customWidth="1"/>
    <col min="7197" max="7198" width="7.07421875" style="1" customWidth="1"/>
    <col min="7199" max="7203" width="8.84375" style="1" customWidth="1"/>
    <col min="7204" max="7424" width="9" style="1"/>
    <col min="7425" max="7425" width="11.4609375" style="1" customWidth="1"/>
    <col min="7426" max="7427" width="9" style="1"/>
    <col min="7428" max="7428" width="18.4609375" style="1" customWidth="1"/>
    <col min="7429" max="7429" width="5.07421875" style="1" bestFit="1" customWidth="1"/>
    <col min="7430" max="7430" width="9.07421875" style="1" bestFit="1" customWidth="1"/>
    <col min="7431" max="7431" width="9.07421875" style="1" customWidth="1"/>
    <col min="7432" max="7440" width="4.07421875" style="1" customWidth="1"/>
    <col min="7441" max="7441" width="6.4609375" style="1" customWidth="1"/>
    <col min="7442" max="7442" width="6.53515625" style="1" customWidth="1"/>
    <col min="7443" max="7443" width="9" style="1"/>
    <col min="7444" max="7452" width="5" style="1" customWidth="1"/>
    <col min="7453" max="7454" width="7.07421875" style="1" customWidth="1"/>
    <col min="7455" max="7459" width="8.84375" style="1" customWidth="1"/>
    <col min="7460" max="7680" width="9" style="1"/>
    <col min="7681" max="7681" width="11.4609375" style="1" customWidth="1"/>
    <col min="7682" max="7683" width="9" style="1"/>
    <col min="7684" max="7684" width="18.4609375" style="1" customWidth="1"/>
    <col min="7685" max="7685" width="5.07421875" style="1" bestFit="1" customWidth="1"/>
    <col min="7686" max="7686" width="9.07421875" style="1" bestFit="1" customWidth="1"/>
    <col min="7687" max="7687" width="9.07421875" style="1" customWidth="1"/>
    <col min="7688" max="7696" width="4.07421875" style="1" customWidth="1"/>
    <col min="7697" max="7697" width="6.4609375" style="1" customWidth="1"/>
    <col min="7698" max="7698" width="6.53515625" style="1" customWidth="1"/>
    <col min="7699" max="7699" width="9" style="1"/>
    <col min="7700" max="7708" width="5" style="1" customWidth="1"/>
    <col min="7709" max="7710" width="7.07421875" style="1" customWidth="1"/>
    <col min="7711" max="7715" width="8.84375" style="1" customWidth="1"/>
    <col min="7716" max="7936" width="9" style="1"/>
    <col min="7937" max="7937" width="11.4609375" style="1" customWidth="1"/>
    <col min="7938" max="7939" width="9" style="1"/>
    <col min="7940" max="7940" width="18.4609375" style="1" customWidth="1"/>
    <col min="7941" max="7941" width="5.07421875" style="1" bestFit="1" customWidth="1"/>
    <col min="7942" max="7942" width="9.07421875" style="1" bestFit="1" customWidth="1"/>
    <col min="7943" max="7943" width="9.07421875" style="1" customWidth="1"/>
    <col min="7944" max="7952" width="4.07421875" style="1" customWidth="1"/>
    <col min="7953" max="7953" width="6.4609375" style="1" customWidth="1"/>
    <col min="7954" max="7954" width="6.53515625" style="1" customWidth="1"/>
    <col min="7955" max="7955" width="9" style="1"/>
    <col min="7956" max="7964" width="5" style="1" customWidth="1"/>
    <col min="7965" max="7966" width="7.07421875" style="1" customWidth="1"/>
    <col min="7967" max="7971" width="8.84375" style="1" customWidth="1"/>
    <col min="7972" max="8192" width="9" style="1"/>
    <col min="8193" max="8193" width="11.4609375" style="1" customWidth="1"/>
    <col min="8194" max="8195" width="9" style="1"/>
    <col min="8196" max="8196" width="18.4609375" style="1" customWidth="1"/>
    <col min="8197" max="8197" width="5.07421875" style="1" bestFit="1" customWidth="1"/>
    <col min="8198" max="8198" width="9.07421875" style="1" bestFit="1" customWidth="1"/>
    <col min="8199" max="8199" width="9.07421875" style="1" customWidth="1"/>
    <col min="8200" max="8208" width="4.07421875" style="1" customWidth="1"/>
    <col min="8209" max="8209" width="6.4609375" style="1" customWidth="1"/>
    <col min="8210" max="8210" width="6.53515625" style="1" customWidth="1"/>
    <col min="8211" max="8211" width="9" style="1"/>
    <col min="8212" max="8220" width="5" style="1" customWidth="1"/>
    <col min="8221" max="8222" width="7.07421875" style="1" customWidth="1"/>
    <col min="8223" max="8227" width="8.84375" style="1" customWidth="1"/>
    <col min="8228" max="8448" width="9" style="1"/>
    <col min="8449" max="8449" width="11.4609375" style="1" customWidth="1"/>
    <col min="8450" max="8451" width="9" style="1"/>
    <col min="8452" max="8452" width="18.4609375" style="1" customWidth="1"/>
    <col min="8453" max="8453" width="5.07421875" style="1" bestFit="1" customWidth="1"/>
    <col min="8454" max="8454" width="9.07421875" style="1" bestFit="1" customWidth="1"/>
    <col min="8455" max="8455" width="9.07421875" style="1" customWidth="1"/>
    <col min="8456" max="8464" width="4.07421875" style="1" customWidth="1"/>
    <col min="8465" max="8465" width="6.4609375" style="1" customWidth="1"/>
    <col min="8466" max="8466" width="6.53515625" style="1" customWidth="1"/>
    <col min="8467" max="8467" width="9" style="1"/>
    <col min="8468" max="8476" width="5" style="1" customWidth="1"/>
    <col min="8477" max="8478" width="7.07421875" style="1" customWidth="1"/>
    <col min="8479" max="8483" width="8.84375" style="1" customWidth="1"/>
    <col min="8484" max="8704" width="9" style="1"/>
    <col min="8705" max="8705" width="11.4609375" style="1" customWidth="1"/>
    <col min="8706" max="8707" width="9" style="1"/>
    <col min="8708" max="8708" width="18.4609375" style="1" customWidth="1"/>
    <col min="8709" max="8709" width="5.07421875" style="1" bestFit="1" customWidth="1"/>
    <col min="8710" max="8710" width="9.07421875" style="1" bestFit="1" customWidth="1"/>
    <col min="8711" max="8711" width="9.07421875" style="1" customWidth="1"/>
    <col min="8712" max="8720" width="4.07421875" style="1" customWidth="1"/>
    <col min="8721" max="8721" width="6.4609375" style="1" customWidth="1"/>
    <col min="8722" max="8722" width="6.53515625" style="1" customWidth="1"/>
    <col min="8723" max="8723" width="9" style="1"/>
    <col min="8724" max="8732" width="5" style="1" customWidth="1"/>
    <col min="8733" max="8734" width="7.07421875" style="1" customWidth="1"/>
    <col min="8735" max="8739" width="8.84375" style="1" customWidth="1"/>
    <col min="8740" max="8960" width="9" style="1"/>
    <col min="8961" max="8961" width="11.4609375" style="1" customWidth="1"/>
    <col min="8962" max="8963" width="9" style="1"/>
    <col min="8964" max="8964" width="18.4609375" style="1" customWidth="1"/>
    <col min="8965" max="8965" width="5.07421875" style="1" bestFit="1" customWidth="1"/>
    <col min="8966" max="8966" width="9.07421875" style="1" bestFit="1" customWidth="1"/>
    <col min="8967" max="8967" width="9.07421875" style="1" customWidth="1"/>
    <col min="8968" max="8976" width="4.07421875" style="1" customWidth="1"/>
    <col min="8977" max="8977" width="6.4609375" style="1" customWidth="1"/>
    <col min="8978" max="8978" width="6.53515625" style="1" customWidth="1"/>
    <col min="8979" max="8979" width="9" style="1"/>
    <col min="8980" max="8988" width="5" style="1" customWidth="1"/>
    <col min="8989" max="8990" width="7.07421875" style="1" customWidth="1"/>
    <col min="8991" max="8995" width="8.84375" style="1" customWidth="1"/>
    <col min="8996" max="9216" width="9" style="1"/>
    <col min="9217" max="9217" width="11.4609375" style="1" customWidth="1"/>
    <col min="9218" max="9219" width="9" style="1"/>
    <col min="9220" max="9220" width="18.4609375" style="1" customWidth="1"/>
    <col min="9221" max="9221" width="5.07421875" style="1" bestFit="1" customWidth="1"/>
    <col min="9222" max="9222" width="9.07421875" style="1" bestFit="1" customWidth="1"/>
    <col min="9223" max="9223" width="9.07421875" style="1" customWidth="1"/>
    <col min="9224" max="9232" width="4.07421875" style="1" customWidth="1"/>
    <col min="9233" max="9233" width="6.4609375" style="1" customWidth="1"/>
    <col min="9234" max="9234" width="6.53515625" style="1" customWidth="1"/>
    <col min="9235" max="9235" width="9" style="1"/>
    <col min="9236" max="9244" width="5" style="1" customWidth="1"/>
    <col min="9245" max="9246" width="7.07421875" style="1" customWidth="1"/>
    <col min="9247" max="9251" width="8.84375" style="1" customWidth="1"/>
    <col min="9252" max="9472" width="9" style="1"/>
    <col min="9473" max="9473" width="11.4609375" style="1" customWidth="1"/>
    <col min="9474" max="9475" width="9" style="1"/>
    <col min="9476" max="9476" width="18.4609375" style="1" customWidth="1"/>
    <col min="9477" max="9477" width="5.07421875" style="1" bestFit="1" customWidth="1"/>
    <col min="9478" max="9478" width="9.07421875" style="1" bestFit="1" customWidth="1"/>
    <col min="9479" max="9479" width="9.07421875" style="1" customWidth="1"/>
    <col min="9480" max="9488" width="4.07421875" style="1" customWidth="1"/>
    <col min="9489" max="9489" width="6.4609375" style="1" customWidth="1"/>
    <col min="9490" max="9490" width="6.53515625" style="1" customWidth="1"/>
    <col min="9491" max="9491" width="9" style="1"/>
    <col min="9492" max="9500" width="5" style="1" customWidth="1"/>
    <col min="9501" max="9502" width="7.07421875" style="1" customWidth="1"/>
    <col min="9503" max="9507" width="8.84375" style="1" customWidth="1"/>
    <col min="9508" max="9728" width="9" style="1"/>
    <col min="9729" max="9729" width="11.4609375" style="1" customWidth="1"/>
    <col min="9730" max="9731" width="9" style="1"/>
    <col min="9732" max="9732" width="18.4609375" style="1" customWidth="1"/>
    <col min="9733" max="9733" width="5.07421875" style="1" bestFit="1" customWidth="1"/>
    <col min="9734" max="9734" width="9.07421875" style="1" bestFit="1" customWidth="1"/>
    <col min="9735" max="9735" width="9.07421875" style="1" customWidth="1"/>
    <col min="9736" max="9744" width="4.07421875" style="1" customWidth="1"/>
    <col min="9745" max="9745" width="6.4609375" style="1" customWidth="1"/>
    <col min="9746" max="9746" width="6.53515625" style="1" customWidth="1"/>
    <col min="9747" max="9747" width="9" style="1"/>
    <col min="9748" max="9756" width="5" style="1" customWidth="1"/>
    <col min="9757" max="9758" width="7.07421875" style="1" customWidth="1"/>
    <col min="9759" max="9763" width="8.84375" style="1" customWidth="1"/>
    <col min="9764" max="9984" width="9" style="1"/>
    <col min="9985" max="9985" width="11.4609375" style="1" customWidth="1"/>
    <col min="9986" max="9987" width="9" style="1"/>
    <col min="9988" max="9988" width="18.4609375" style="1" customWidth="1"/>
    <col min="9989" max="9989" width="5.07421875" style="1" bestFit="1" customWidth="1"/>
    <col min="9990" max="9990" width="9.07421875" style="1" bestFit="1" customWidth="1"/>
    <col min="9991" max="9991" width="9.07421875" style="1" customWidth="1"/>
    <col min="9992" max="10000" width="4.07421875" style="1" customWidth="1"/>
    <col min="10001" max="10001" width="6.4609375" style="1" customWidth="1"/>
    <col min="10002" max="10002" width="6.53515625" style="1" customWidth="1"/>
    <col min="10003" max="10003" width="9" style="1"/>
    <col min="10004" max="10012" width="5" style="1" customWidth="1"/>
    <col min="10013" max="10014" width="7.07421875" style="1" customWidth="1"/>
    <col min="10015" max="10019" width="8.84375" style="1" customWidth="1"/>
    <col min="10020" max="10240" width="9" style="1"/>
    <col min="10241" max="10241" width="11.4609375" style="1" customWidth="1"/>
    <col min="10242" max="10243" width="9" style="1"/>
    <col min="10244" max="10244" width="18.4609375" style="1" customWidth="1"/>
    <col min="10245" max="10245" width="5.07421875" style="1" bestFit="1" customWidth="1"/>
    <col min="10246" max="10246" width="9.07421875" style="1" bestFit="1" customWidth="1"/>
    <col min="10247" max="10247" width="9.07421875" style="1" customWidth="1"/>
    <col min="10248" max="10256" width="4.07421875" style="1" customWidth="1"/>
    <col min="10257" max="10257" width="6.4609375" style="1" customWidth="1"/>
    <col min="10258" max="10258" width="6.53515625" style="1" customWidth="1"/>
    <col min="10259" max="10259" width="9" style="1"/>
    <col min="10260" max="10268" width="5" style="1" customWidth="1"/>
    <col min="10269" max="10270" width="7.07421875" style="1" customWidth="1"/>
    <col min="10271" max="10275" width="8.84375" style="1" customWidth="1"/>
    <col min="10276" max="10496" width="9" style="1"/>
    <col min="10497" max="10497" width="11.4609375" style="1" customWidth="1"/>
    <col min="10498" max="10499" width="9" style="1"/>
    <col min="10500" max="10500" width="18.4609375" style="1" customWidth="1"/>
    <col min="10501" max="10501" width="5.07421875" style="1" bestFit="1" customWidth="1"/>
    <col min="10502" max="10502" width="9.07421875" style="1" bestFit="1" customWidth="1"/>
    <col min="10503" max="10503" width="9.07421875" style="1" customWidth="1"/>
    <col min="10504" max="10512" width="4.07421875" style="1" customWidth="1"/>
    <col min="10513" max="10513" width="6.4609375" style="1" customWidth="1"/>
    <col min="10514" max="10514" width="6.53515625" style="1" customWidth="1"/>
    <col min="10515" max="10515" width="9" style="1"/>
    <col min="10516" max="10524" width="5" style="1" customWidth="1"/>
    <col min="10525" max="10526" width="7.07421875" style="1" customWidth="1"/>
    <col min="10527" max="10531" width="8.84375" style="1" customWidth="1"/>
    <col min="10532" max="10752" width="9" style="1"/>
    <col min="10753" max="10753" width="11.4609375" style="1" customWidth="1"/>
    <col min="10754" max="10755" width="9" style="1"/>
    <col min="10756" max="10756" width="18.4609375" style="1" customWidth="1"/>
    <col min="10757" max="10757" width="5.07421875" style="1" bestFit="1" customWidth="1"/>
    <col min="10758" max="10758" width="9.07421875" style="1" bestFit="1" customWidth="1"/>
    <col min="10759" max="10759" width="9.07421875" style="1" customWidth="1"/>
    <col min="10760" max="10768" width="4.07421875" style="1" customWidth="1"/>
    <col min="10769" max="10769" width="6.4609375" style="1" customWidth="1"/>
    <col min="10770" max="10770" width="6.53515625" style="1" customWidth="1"/>
    <col min="10771" max="10771" width="9" style="1"/>
    <col min="10772" max="10780" width="5" style="1" customWidth="1"/>
    <col min="10781" max="10782" width="7.07421875" style="1" customWidth="1"/>
    <col min="10783" max="10787" width="8.84375" style="1" customWidth="1"/>
    <col min="10788" max="11008" width="9" style="1"/>
    <col min="11009" max="11009" width="11.4609375" style="1" customWidth="1"/>
    <col min="11010" max="11011" width="9" style="1"/>
    <col min="11012" max="11012" width="18.4609375" style="1" customWidth="1"/>
    <col min="11013" max="11013" width="5.07421875" style="1" bestFit="1" customWidth="1"/>
    <col min="11014" max="11014" width="9.07421875" style="1" bestFit="1" customWidth="1"/>
    <col min="11015" max="11015" width="9.07421875" style="1" customWidth="1"/>
    <col min="11016" max="11024" width="4.07421875" style="1" customWidth="1"/>
    <col min="11025" max="11025" width="6.4609375" style="1" customWidth="1"/>
    <col min="11026" max="11026" width="6.53515625" style="1" customWidth="1"/>
    <col min="11027" max="11027" width="9" style="1"/>
    <col min="11028" max="11036" width="5" style="1" customWidth="1"/>
    <col min="11037" max="11038" width="7.07421875" style="1" customWidth="1"/>
    <col min="11039" max="11043" width="8.84375" style="1" customWidth="1"/>
    <col min="11044" max="11264" width="9" style="1"/>
    <col min="11265" max="11265" width="11.4609375" style="1" customWidth="1"/>
    <col min="11266" max="11267" width="9" style="1"/>
    <col min="11268" max="11268" width="18.4609375" style="1" customWidth="1"/>
    <col min="11269" max="11269" width="5.07421875" style="1" bestFit="1" customWidth="1"/>
    <col min="11270" max="11270" width="9.07421875" style="1" bestFit="1" customWidth="1"/>
    <col min="11271" max="11271" width="9.07421875" style="1" customWidth="1"/>
    <col min="11272" max="11280" width="4.07421875" style="1" customWidth="1"/>
    <col min="11281" max="11281" width="6.4609375" style="1" customWidth="1"/>
    <col min="11282" max="11282" width="6.53515625" style="1" customWidth="1"/>
    <col min="11283" max="11283" width="9" style="1"/>
    <col min="11284" max="11292" width="5" style="1" customWidth="1"/>
    <col min="11293" max="11294" width="7.07421875" style="1" customWidth="1"/>
    <col min="11295" max="11299" width="8.84375" style="1" customWidth="1"/>
    <col min="11300" max="11520" width="9" style="1"/>
    <col min="11521" max="11521" width="11.4609375" style="1" customWidth="1"/>
    <col min="11522" max="11523" width="9" style="1"/>
    <col min="11524" max="11524" width="18.4609375" style="1" customWidth="1"/>
    <col min="11525" max="11525" width="5.07421875" style="1" bestFit="1" customWidth="1"/>
    <col min="11526" max="11526" width="9.07421875" style="1" bestFit="1" customWidth="1"/>
    <col min="11527" max="11527" width="9.07421875" style="1" customWidth="1"/>
    <col min="11528" max="11536" width="4.07421875" style="1" customWidth="1"/>
    <col min="11537" max="11537" width="6.4609375" style="1" customWidth="1"/>
    <col min="11538" max="11538" width="6.53515625" style="1" customWidth="1"/>
    <col min="11539" max="11539" width="9" style="1"/>
    <col min="11540" max="11548" width="5" style="1" customWidth="1"/>
    <col min="11549" max="11550" width="7.07421875" style="1" customWidth="1"/>
    <col min="11551" max="11555" width="8.84375" style="1" customWidth="1"/>
    <col min="11556" max="11776" width="9" style="1"/>
    <col min="11777" max="11777" width="11.4609375" style="1" customWidth="1"/>
    <col min="11778" max="11779" width="9" style="1"/>
    <col min="11780" max="11780" width="18.4609375" style="1" customWidth="1"/>
    <col min="11781" max="11781" width="5.07421875" style="1" bestFit="1" customWidth="1"/>
    <col min="11782" max="11782" width="9.07421875" style="1" bestFit="1" customWidth="1"/>
    <col min="11783" max="11783" width="9.07421875" style="1" customWidth="1"/>
    <col min="11784" max="11792" width="4.07421875" style="1" customWidth="1"/>
    <col min="11793" max="11793" width="6.4609375" style="1" customWidth="1"/>
    <col min="11794" max="11794" width="6.53515625" style="1" customWidth="1"/>
    <col min="11795" max="11795" width="9" style="1"/>
    <col min="11796" max="11804" width="5" style="1" customWidth="1"/>
    <col min="11805" max="11806" width="7.07421875" style="1" customWidth="1"/>
    <col min="11807" max="11811" width="8.84375" style="1" customWidth="1"/>
    <col min="11812" max="12032" width="9" style="1"/>
    <col min="12033" max="12033" width="11.4609375" style="1" customWidth="1"/>
    <col min="12034" max="12035" width="9" style="1"/>
    <col min="12036" max="12036" width="18.4609375" style="1" customWidth="1"/>
    <col min="12037" max="12037" width="5.07421875" style="1" bestFit="1" customWidth="1"/>
    <col min="12038" max="12038" width="9.07421875" style="1" bestFit="1" customWidth="1"/>
    <col min="12039" max="12039" width="9.07421875" style="1" customWidth="1"/>
    <col min="12040" max="12048" width="4.07421875" style="1" customWidth="1"/>
    <col min="12049" max="12049" width="6.4609375" style="1" customWidth="1"/>
    <col min="12050" max="12050" width="6.53515625" style="1" customWidth="1"/>
    <col min="12051" max="12051" width="9" style="1"/>
    <col min="12052" max="12060" width="5" style="1" customWidth="1"/>
    <col min="12061" max="12062" width="7.07421875" style="1" customWidth="1"/>
    <col min="12063" max="12067" width="8.84375" style="1" customWidth="1"/>
    <col min="12068" max="12288" width="9" style="1"/>
    <col min="12289" max="12289" width="11.4609375" style="1" customWidth="1"/>
    <col min="12290" max="12291" width="9" style="1"/>
    <col min="12292" max="12292" width="18.4609375" style="1" customWidth="1"/>
    <col min="12293" max="12293" width="5.07421875" style="1" bestFit="1" customWidth="1"/>
    <col min="12294" max="12294" width="9.07421875" style="1" bestFit="1" customWidth="1"/>
    <col min="12295" max="12295" width="9.07421875" style="1" customWidth="1"/>
    <col min="12296" max="12304" width="4.07421875" style="1" customWidth="1"/>
    <col min="12305" max="12305" width="6.4609375" style="1" customWidth="1"/>
    <col min="12306" max="12306" width="6.53515625" style="1" customWidth="1"/>
    <col min="12307" max="12307" width="9" style="1"/>
    <col min="12308" max="12316" width="5" style="1" customWidth="1"/>
    <col min="12317" max="12318" width="7.07421875" style="1" customWidth="1"/>
    <col min="12319" max="12323" width="8.84375" style="1" customWidth="1"/>
    <col min="12324" max="12544" width="9" style="1"/>
    <col min="12545" max="12545" width="11.4609375" style="1" customWidth="1"/>
    <col min="12546" max="12547" width="9" style="1"/>
    <col min="12548" max="12548" width="18.4609375" style="1" customWidth="1"/>
    <col min="12549" max="12549" width="5.07421875" style="1" bestFit="1" customWidth="1"/>
    <col min="12550" max="12550" width="9.07421875" style="1" bestFit="1" customWidth="1"/>
    <col min="12551" max="12551" width="9.07421875" style="1" customWidth="1"/>
    <col min="12552" max="12560" width="4.07421875" style="1" customWidth="1"/>
    <col min="12561" max="12561" width="6.4609375" style="1" customWidth="1"/>
    <col min="12562" max="12562" width="6.53515625" style="1" customWidth="1"/>
    <col min="12563" max="12563" width="9" style="1"/>
    <col min="12564" max="12572" width="5" style="1" customWidth="1"/>
    <col min="12573" max="12574" width="7.07421875" style="1" customWidth="1"/>
    <col min="12575" max="12579" width="8.84375" style="1" customWidth="1"/>
    <col min="12580" max="12800" width="9" style="1"/>
    <col min="12801" max="12801" width="11.4609375" style="1" customWidth="1"/>
    <col min="12802" max="12803" width="9" style="1"/>
    <col min="12804" max="12804" width="18.4609375" style="1" customWidth="1"/>
    <col min="12805" max="12805" width="5.07421875" style="1" bestFit="1" customWidth="1"/>
    <col min="12806" max="12806" width="9.07421875" style="1" bestFit="1" customWidth="1"/>
    <col min="12807" max="12807" width="9.07421875" style="1" customWidth="1"/>
    <col min="12808" max="12816" width="4.07421875" style="1" customWidth="1"/>
    <col min="12817" max="12817" width="6.4609375" style="1" customWidth="1"/>
    <col min="12818" max="12818" width="6.53515625" style="1" customWidth="1"/>
    <col min="12819" max="12819" width="9" style="1"/>
    <col min="12820" max="12828" width="5" style="1" customWidth="1"/>
    <col min="12829" max="12830" width="7.07421875" style="1" customWidth="1"/>
    <col min="12831" max="12835" width="8.84375" style="1" customWidth="1"/>
    <col min="12836" max="13056" width="9" style="1"/>
    <col min="13057" max="13057" width="11.4609375" style="1" customWidth="1"/>
    <col min="13058" max="13059" width="9" style="1"/>
    <col min="13060" max="13060" width="18.4609375" style="1" customWidth="1"/>
    <col min="13061" max="13061" width="5.07421875" style="1" bestFit="1" customWidth="1"/>
    <col min="13062" max="13062" width="9.07421875" style="1" bestFit="1" customWidth="1"/>
    <col min="13063" max="13063" width="9.07421875" style="1" customWidth="1"/>
    <col min="13064" max="13072" width="4.07421875" style="1" customWidth="1"/>
    <col min="13073" max="13073" width="6.4609375" style="1" customWidth="1"/>
    <col min="13074" max="13074" width="6.53515625" style="1" customWidth="1"/>
    <col min="13075" max="13075" width="9" style="1"/>
    <col min="13076" max="13084" width="5" style="1" customWidth="1"/>
    <col min="13085" max="13086" width="7.07421875" style="1" customWidth="1"/>
    <col min="13087" max="13091" width="8.84375" style="1" customWidth="1"/>
    <col min="13092" max="13312" width="9" style="1"/>
    <col min="13313" max="13313" width="11.4609375" style="1" customWidth="1"/>
    <col min="13314" max="13315" width="9" style="1"/>
    <col min="13316" max="13316" width="18.4609375" style="1" customWidth="1"/>
    <col min="13317" max="13317" width="5.07421875" style="1" bestFit="1" customWidth="1"/>
    <col min="13318" max="13318" width="9.07421875" style="1" bestFit="1" customWidth="1"/>
    <col min="13319" max="13319" width="9.07421875" style="1" customWidth="1"/>
    <col min="13320" max="13328" width="4.07421875" style="1" customWidth="1"/>
    <col min="13329" max="13329" width="6.4609375" style="1" customWidth="1"/>
    <col min="13330" max="13330" width="6.53515625" style="1" customWidth="1"/>
    <col min="13331" max="13331" width="9" style="1"/>
    <col min="13332" max="13340" width="5" style="1" customWidth="1"/>
    <col min="13341" max="13342" width="7.07421875" style="1" customWidth="1"/>
    <col min="13343" max="13347" width="8.84375" style="1" customWidth="1"/>
    <col min="13348" max="13568" width="9" style="1"/>
    <col min="13569" max="13569" width="11.4609375" style="1" customWidth="1"/>
    <col min="13570" max="13571" width="9" style="1"/>
    <col min="13572" max="13572" width="18.4609375" style="1" customWidth="1"/>
    <col min="13573" max="13573" width="5.07421875" style="1" bestFit="1" customWidth="1"/>
    <col min="13574" max="13574" width="9.07421875" style="1" bestFit="1" customWidth="1"/>
    <col min="13575" max="13575" width="9.07421875" style="1" customWidth="1"/>
    <col min="13576" max="13584" width="4.07421875" style="1" customWidth="1"/>
    <col min="13585" max="13585" width="6.4609375" style="1" customWidth="1"/>
    <col min="13586" max="13586" width="6.53515625" style="1" customWidth="1"/>
    <col min="13587" max="13587" width="9" style="1"/>
    <col min="13588" max="13596" width="5" style="1" customWidth="1"/>
    <col min="13597" max="13598" width="7.07421875" style="1" customWidth="1"/>
    <col min="13599" max="13603" width="8.84375" style="1" customWidth="1"/>
    <col min="13604" max="13824" width="9" style="1"/>
    <col min="13825" max="13825" width="11.4609375" style="1" customWidth="1"/>
    <col min="13826" max="13827" width="9" style="1"/>
    <col min="13828" max="13828" width="18.4609375" style="1" customWidth="1"/>
    <col min="13829" max="13829" width="5.07421875" style="1" bestFit="1" customWidth="1"/>
    <col min="13830" max="13830" width="9.07421875" style="1" bestFit="1" customWidth="1"/>
    <col min="13831" max="13831" width="9.07421875" style="1" customWidth="1"/>
    <col min="13832" max="13840" width="4.07421875" style="1" customWidth="1"/>
    <col min="13841" max="13841" width="6.4609375" style="1" customWidth="1"/>
    <col min="13842" max="13842" width="6.53515625" style="1" customWidth="1"/>
    <col min="13843" max="13843" width="9" style="1"/>
    <col min="13844" max="13852" width="5" style="1" customWidth="1"/>
    <col min="13853" max="13854" width="7.07421875" style="1" customWidth="1"/>
    <col min="13855" max="13859" width="8.84375" style="1" customWidth="1"/>
    <col min="13860" max="14080" width="9" style="1"/>
    <col min="14081" max="14081" width="11.4609375" style="1" customWidth="1"/>
    <col min="14082" max="14083" width="9" style="1"/>
    <col min="14084" max="14084" width="18.4609375" style="1" customWidth="1"/>
    <col min="14085" max="14085" width="5.07421875" style="1" bestFit="1" customWidth="1"/>
    <col min="14086" max="14086" width="9.07421875" style="1" bestFit="1" customWidth="1"/>
    <col min="14087" max="14087" width="9.07421875" style="1" customWidth="1"/>
    <col min="14088" max="14096" width="4.07421875" style="1" customWidth="1"/>
    <col min="14097" max="14097" width="6.4609375" style="1" customWidth="1"/>
    <col min="14098" max="14098" width="6.53515625" style="1" customWidth="1"/>
    <col min="14099" max="14099" width="9" style="1"/>
    <col min="14100" max="14108" width="5" style="1" customWidth="1"/>
    <col min="14109" max="14110" width="7.07421875" style="1" customWidth="1"/>
    <col min="14111" max="14115" width="8.84375" style="1" customWidth="1"/>
    <col min="14116" max="14336" width="9" style="1"/>
    <col min="14337" max="14337" width="11.4609375" style="1" customWidth="1"/>
    <col min="14338" max="14339" width="9" style="1"/>
    <col min="14340" max="14340" width="18.4609375" style="1" customWidth="1"/>
    <col min="14341" max="14341" width="5.07421875" style="1" bestFit="1" customWidth="1"/>
    <col min="14342" max="14342" width="9.07421875" style="1" bestFit="1" customWidth="1"/>
    <col min="14343" max="14343" width="9.07421875" style="1" customWidth="1"/>
    <col min="14344" max="14352" width="4.07421875" style="1" customWidth="1"/>
    <col min="14353" max="14353" width="6.4609375" style="1" customWidth="1"/>
    <col min="14354" max="14354" width="6.53515625" style="1" customWidth="1"/>
    <col min="14355" max="14355" width="9" style="1"/>
    <col min="14356" max="14364" width="5" style="1" customWidth="1"/>
    <col min="14365" max="14366" width="7.07421875" style="1" customWidth="1"/>
    <col min="14367" max="14371" width="8.84375" style="1" customWidth="1"/>
    <col min="14372" max="14592" width="9" style="1"/>
    <col min="14593" max="14593" width="11.4609375" style="1" customWidth="1"/>
    <col min="14594" max="14595" width="9" style="1"/>
    <col min="14596" max="14596" width="18.4609375" style="1" customWidth="1"/>
    <col min="14597" max="14597" width="5.07421875" style="1" bestFit="1" customWidth="1"/>
    <col min="14598" max="14598" width="9.07421875" style="1" bestFit="1" customWidth="1"/>
    <col min="14599" max="14599" width="9.07421875" style="1" customWidth="1"/>
    <col min="14600" max="14608" width="4.07421875" style="1" customWidth="1"/>
    <col min="14609" max="14609" width="6.4609375" style="1" customWidth="1"/>
    <col min="14610" max="14610" width="6.53515625" style="1" customWidth="1"/>
    <col min="14611" max="14611" width="9" style="1"/>
    <col min="14612" max="14620" width="5" style="1" customWidth="1"/>
    <col min="14621" max="14622" width="7.07421875" style="1" customWidth="1"/>
    <col min="14623" max="14627" width="8.84375" style="1" customWidth="1"/>
    <col min="14628" max="14848" width="9" style="1"/>
    <col min="14849" max="14849" width="11.4609375" style="1" customWidth="1"/>
    <col min="14850" max="14851" width="9" style="1"/>
    <col min="14852" max="14852" width="18.4609375" style="1" customWidth="1"/>
    <col min="14853" max="14853" width="5.07421875" style="1" bestFit="1" customWidth="1"/>
    <col min="14854" max="14854" width="9.07421875" style="1" bestFit="1" customWidth="1"/>
    <col min="14855" max="14855" width="9.07421875" style="1" customWidth="1"/>
    <col min="14856" max="14864" width="4.07421875" style="1" customWidth="1"/>
    <col min="14865" max="14865" width="6.4609375" style="1" customWidth="1"/>
    <col min="14866" max="14866" width="6.53515625" style="1" customWidth="1"/>
    <col min="14867" max="14867" width="9" style="1"/>
    <col min="14868" max="14876" width="5" style="1" customWidth="1"/>
    <col min="14877" max="14878" width="7.07421875" style="1" customWidth="1"/>
    <col min="14879" max="14883" width="8.84375" style="1" customWidth="1"/>
    <col min="14884" max="15104" width="9" style="1"/>
    <col min="15105" max="15105" width="11.4609375" style="1" customWidth="1"/>
    <col min="15106" max="15107" width="9" style="1"/>
    <col min="15108" max="15108" width="18.4609375" style="1" customWidth="1"/>
    <col min="15109" max="15109" width="5.07421875" style="1" bestFit="1" customWidth="1"/>
    <col min="15110" max="15110" width="9.07421875" style="1" bestFit="1" customWidth="1"/>
    <col min="15111" max="15111" width="9.07421875" style="1" customWidth="1"/>
    <col min="15112" max="15120" width="4.07421875" style="1" customWidth="1"/>
    <col min="15121" max="15121" width="6.4609375" style="1" customWidth="1"/>
    <col min="15122" max="15122" width="6.53515625" style="1" customWidth="1"/>
    <col min="15123" max="15123" width="9" style="1"/>
    <col min="15124" max="15132" width="5" style="1" customWidth="1"/>
    <col min="15133" max="15134" width="7.07421875" style="1" customWidth="1"/>
    <col min="15135" max="15139" width="8.84375" style="1" customWidth="1"/>
    <col min="15140" max="15360" width="9" style="1"/>
    <col min="15361" max="15361" width="11.4609375" style="1" customWidth="1"/>
    <col min="15362" max="15363" width="9" style="1"/>
    <col min="15364" max="15364" width="18.4609375" style="1" customWidth="1"/>
    <col min="15365" max="15365" width="5.07421875" style="1" bestFit="1" customWidth="1"/>
    <col min="15366" max="15366" width="9.07421875" style="1" bestFit="1" customWidth="1"/>
    <col min="15367" max="15367" width="9.07421875" style="1" customWidth="1"/>
    <col min="15368" max="15376" width="4.07421875" style="1" customWidth="1"/>
    <col min="15377" max="15377" width="6.4609375" style="1" customWidth="1"/>
    <col min="15378" max="15378" width="6.53515625" style="1" customWidth="1"/>
    <col min="15379" max="15379" width="9" style="1"/>
    <col min="15380" max="15388" width="5" style="1" customWidth="1"/>
    <col min="15389" max="15390" width="7.07421875" style="1" customWidth="1"/>
    <col min="15391" max="15395" width="8.84375" style="1" customWidth="1"/>
    <col min="15396" max="15616" width="9" style="1"/>
    <col min="15617" max="15617" width="11.4609375" style="1" customWidth="1"/>
    <col min="15618" max="15619" width="9" style="1"/>
    <col min="15620" max="15620" width="18.4609375" style="1" customWidth="1"/>
    <col min="15621" max="15621" width="5.07421875" style="1" bestFit="1" customWidth="1"/>
    <col min="15622" max="15622" width="9.07421875" style="1" bestFit="1" customWidth="1"/>
    <col min="15623" max="15623" width="9.07421875" style="1" customWidth="1"/>
    <col min="15624" max="15632" width="4.07421875" style="1" customWidth="1"/>
    <col min="15633" max="15633" width="6.4609375" style="1" customWidth="1"/>
    <col min="15634" max="15634" width="6.53515625" style="1" customWidth="1"/>
    <col min="15635" max="15635" width="9" style="1"/>
    <col min="15636" max="15644" width="5" style="1" customWidth="1"/>
    <col min="15645" max="15646" width="7.07421875" style="1" customWidth="1"/>
    <col min="15647" max="15651" width="8.84375" style="1" customWidth="1"/>
    <col min="15652" max="15872" width="9" style="1"/>
    <col min="15873" max="15873" width="11.4609375" style="1" customWidth="1"/>
    <col min="15874" max="15875" width="9" style="1"/>
    <col min="15876" max="15876" width="18.4609375" style="1" customWidth="1"/>
    <col min="15877" max="15877" width="5.07421875" style="1" bestFit="1" customWidth="1"/>
    <col min="15878" max="15878" width="9.07421875" style="1" bestFit="1" customWidth="1"/>
    <col min="15879" max="15879" width="9.07421875" style="1" customWidth="1"/>
    <col min="15880" max="15888" width="4.07421875" style="1" customWidth="1"/>
    <col min="15889" max="15889" width="6.4609375" style="1" customWidth="1"/>
    <col min="15890" max="15890" width="6.53515625" style="1" customWidth="1"/>
    <col min="15891" max="15891" width="9" style="1"/>
    <col min="15892" max="15900" width="5" style="1" customWidth="1"/>
    <col min="15901" max="15902" width="7.07421875" style="1" customWidth="1"/>
    <col min="15903" max="15907" width="8.84375" style="1" customWidth="1"/>
    <col min="15908" max="16128" width="9" style="1"/>
    <col min="16129" max="16129" width="11.4609375" style="1" customWidth="1"/>
    <col min="16130" max="16131" width="9" style="1"/>
    <col min="16132" max="16132" width="18.4609375" style="1" customWidth="1"/>
    <col min="16133" max="16133" width="5.07421875" style="1" bestFit="1" customWidth="1"/>
    <col min="16134" max="16134" width="9.07421875" style="1" bestFit="1" customWidth="1"/>
    <col min="16135" max="16135" width="9.07421875" style="1" customWidth="1"/>
    <col min="16136" max="16144" width="4.07421875" style="1" customWidth="1"/>
    <col min="16145" max="16145" width="6.4609375" style="1" customWidth="1"/>
    <col min="16146" max="16146" width="6.53515625" style="1" customWidth="1"/>
    <col min="16147" max="16147" width="9" style="1"/>
    <col min="16148" max="16156" width="5" style="1" customWidth="1"/>
    <col min="16157" max="16158" width="7.07421875" style="1" customWidth="1"/>
    <col min="16159" max="16163" width="8.84375" style="1" customWidth="1"/>
    <col min="16164" max="16384" width="9" style="1"/>
  </cols>
  <sheetData>
    <row r="1" spans="1:38" ht="15.45" x14ac:dyDescent="0.4">
      <c r="A1" s="20" t="s">
        <v>73</v>
      </c>
      <c r="B1" s="2"/>
      <c r="C1" s="2"/>
      <c r="D1" s="2"/>
      <c r="E1" s="2"/>
      <c r="F1" s="2"/>
      <c r="G1" s="2"/>
      <c r="S1" s="21" t="s">
        <v>74</v>
      </c>
      <c r="T1" s="22">
        <v>4</v>
      </c>
      <c r="U1" s="22">
        <v>3</v>
      </c>
      <c r="V1" s="22">
        <v>4</v>
      </c>
      <c r="W1" s="22">
        <v>5</v>
      </c>
      <c r="X1" s="22">
        <v>4</v>
      </c>
      <c r="Y1" s="22">
        <v>3</v>
      </c>
      <c r="Z1" s="22">
        <v>4</v>
      </c>
      <c r="AA1" s="22">
        <v>5</v>
      </c>
      <c r="AB1" s="23">
        <v>4</v>
      </c>
      <c r="AC1" s="24">
        <v>36</v>
      </c>
      <c r="AD1" s="25"/>
    </row>
    <row r="2" spans="1:38" ht="15" thickBot="1" x14ac:dyDescent="0.45">
      <c r="A2" s="85" t="s">
        <v>75</v>
      </c>
      <c r="B2" s="85"/>
      <c r="C2" s="2">
        <v>3</v>
      </c>
      <c r="D2" s="26" t="s">
        <v>76</v>
      </c>
      <c r="E2" s="26"/>
      <c r="F2" s="26"/>
      <c r="G2" s="26"/>
      <c r="S2" s="27" t="s">
        <v>77</v>
      </c>
      <c r="T2" s="28">
        <v>3</v>
      </c>
      <c r="U2" s="28">
        <v>4</v>
      </c>
      <c r="V2" s="28">
        <v>4</v>
      </c>
      <c r="W2" s="28">
        <v>4</v>
      </c>
      <c r="X2" s="28">
        <v>5</v>
      </c>
      <c r="Y2" s="28">
        <v>4</v>
      </c>
      <c r="Z2" s="28">
        <v>3</v>
      </c>
      <c r="AA2" s="28">
        <v>5</v>
      </c>
      <c r="AB2" s="29">
        <v>4</v>
      </c>
      <c r="AC2" s="30">
        <v>36</v>
      </c>
      <c r="AD2" s="25"/>
    </row>
    <row r="3" spans="1:38" x14ac:dyDescent="0.4">
      <c r="B3" s="2"/>
      <c r="C3" s="2"/>
      <c r="D3" s="2"/>
      <c r="E3" s="2"/>
      <c r="F3" s="2"/>
      <c r="G3" s="2"/>
      <c r="S3" s="31" t="s">
        <v>78</v>
      </c>
      <c r="T3" s="32">
        <v>1</v>
      </c>
      <c r="U3" s="32">
        <v>3</v>
      </c>
      <c r="V3" s="32">
        <v>7</v>
      </c>
      <c r="W3" s="32">
        <v>8</v>
      </c>
      <c r="X3" s="32">
        <v>4</v>
      </c>
      <c r="Y3" s="32">
        <v>9</v>
      </c>
      <c r="Z3" s="32">
        <v>2</v>
      </c>
      <c r="AA3" s="32">
        <v>6</v>
      </c>
      <c r="AB3" s="33">
        <v>5</v>
      </c>
      <c r="AC3" s="34"/>
      <c r="AD3" s="25"/>
    </row>
    <row r="4" spans="1:38" ht="15" thickBot="1" x14ac:dyDescent="0.45">
      <c r="A4" s="2"/>
      <c r="B4" s="2"/>
      <c r="C4" s="2"/>
      <c r="D4" s="2"/>
      <c r="E4" s="2"/>
      <c r="F4" s="2"/>
      <c r="G4" s="2"/>
      <c r="S4" s="27" t="s">
        <v>79</v>
      </c>
      <c r="T4" s="28">
        <v>9</v>
      </c>
      <c r="U4" s="28">
        <v>2</v>
      </c>
      <c r="V4" s="28">
        <v>5</v>
      </c>
      <c r="W4" s="28">
        <v>4</v>
      </c>
      <c r="X4" s="28">
        <v>3</v>
      </c>
      <c r="Y4" s="28">
        <v>8</v>
      </c>
      <c r="Z4" s="28">
        <v>6</v>
      </c>
      <c r="AA4" s="28">
        <v>7</v>
      </c>
      <c r="AB4" s="29">
        <v>1</v>
      </c>
      <c r="AC4" s="35"/>
      <c r="AD4" s="25"/>
    </row>
    <row r="5" spans="1:38" x14ac:dyDescent="0.4">
      <c r="A5" s="2"/>
      <c r="B5" s="2"/>
      <c r="C5" s="2"/>
      <c r="D5" s="2"/>
      <c r="E5" s="2"/>
      <c r="F5" s="2"/>
      <c r="G5" s="2"/>
      <c r="S5" s="36"/>
      <c r="T5" s="37"/>
      <c r="U5" s="37"/>
      <c r="V5" s="37"/>
      <c r="W5" s="37"/>
      <c r="X5" s="37"/>
      <c r="Y5" s="37"/>
      <c r="Z5" s="37"/>
      <c r="AA5" s="37"/>
      <c r="AB5" s="37"/>
      <c r="AC5" s="38"/>
      <c r="AD5" s="25"/>
    </row>
    <row r="6" spans="1:38" ht="14.25" customHeight="1" x14ac:dyDescent="0.4">
      <c r="A6" s="2" t="s">
        <v>80</v>
      </c>
      <c r="B6" s="39"/>
      <c r="C6" s="2"/>
      <c r="D6" s="2"/>
      <c r="E6" s="2"/>
      <c r="F6" s="2"/>
      <c r="G6" s="2"/>
      <c r="AD6" s="40"/>
      <c r="AE6" s="2" t="s">
        <v>0</v>
      </c>
      <c r="AF6" s="2" t="s">
        <v>81</v>
      </c>
      <c r="AG6" s="2" t="s">
        <v>82</v>
      </c>
      <c r="AH6" s="2" t="s">
        <v>83</v>
      </c>
    </row>
    <row r="7" spans="1:38" ht="15" thickBot="1" x14ac:dyDescent="0.45">
      <c r="A7" s="2"/>
      <c r="B7" s="2"/>
      <c r="C7" s="2"/>
      <c r="D7" s="2"/>
      <c r="E7" s="2"/>
      <c r="F7" s="2"/>
      <c r="G7" s="2"/>
      <c r="H7" s="41"/>
      <c r="T7" s="86"/>
      <c r="U7" s="86"/>
      <c r="V7" s="86"/>
      <c r="W7" s="86"/>
      <c r="AD7" s="40"/>
      <c r="AE7" s="2" t="s">
        <v>8</v>
      </c>
      <c r="AF7" s="2" t="s">
        <v>8</v>
      </c>
      <c r="AG7" s="2" t="s">
        <v>8</v>
      </c>
      <c r="AH7" s="2" t="s">
        <v>8</v>
      </c>
      <c r="AI7" s="1" t="s">
        <v>4</v>
      </c>
    </row>
    <row r="8" spans="1:38" ht="15" thickBot="1" x14ac:dyDescent="0.45">
      <c r="A8" s="42" t="s">
        <v>82</v>
      </c>
      <c r="B8" s="42" t="s">
        <v>0</v>
      </c>
      <c r="C8" s="42" t="s">
        <v>6</v>
      </c>
      <c r="D8" s="42" t="s">
        <v>84</v>
      </c>
      <c r="E8" s="42" t="s">
        <v>85</v>
      </c>
      <c r="F8" s="42" t="s">
        <v>86</v>
      </c>
      <c r="G8" s="42"/>
      <c r="H8" s="42">
        <v>1</v>
      </c>
      <c r="I8" s="42">
        <v>2</v>
      </c>
      <c r="J8" s="42">
        <v>3</v>
      </c>
      <c r="K8" s="42">
        <v>4</v>
      </c>
      <c r="L8" s="42">
        <v>5</v>
      </c>
      <c r="M8" s="42">
        <v>6</v>
      </c>
      <c r="N8" s="42">
        <v>7</v>
      </c>
      <c r="O8" s="42">
        <v>8</v>
      </c>
      <c r="P8" s="42">
        <v>9</v>
      </c>
      <c r="Q8" s="42" t="s">
        <v>87</v>
      </c>
      <c r="S8" s="43" t="s">
        <v>88</v>
      </c>
      <c r="T8" s="44">
        <v>1</v>
      </c>
      <c r="U8" s="44">
        <v>2</v>
      </c>
      <c r="V8" s="44">
        <v>3</v>
      </c>
      <c r="W8" s="44">
        <v>4</v>
      </c>
      <c r="X8" s="44">
        <v>5</v>
      </c>
      <c r="Y8" s="44">
        <v>6</v>
      </c>
      <c r="Z8" s="44">
        <v>7</v>
      </c>
      <c r="AA8" s="44">
        <v>8</v>
      </c>
      <c r="AB8" s="44">
        <v>9</v>
      </c>
      <c r="AC8" s="45" t="s">
        <v>4</v>
      </c>
      <c r="AD8" s="40"/>
      <c r="AE8" s="2"/>
      <c r="AH8" s="2"/>
      <c r="AJ8" s="2"/>
      <c r="AK8" s="26"/>
      <c r="AL8" s="26"/>
    </row>
    <row r="9" spans="1:38" x14ac:dyDescent="0.4">
      <c r="A9" s="46">
        <v>1</v>
      </c>
      <c r="B9" s="47">
        <v>8</v>
      </c>
      <c r="C9" s="48">
        <v>15</v>
      </c>
      <c r="D9" s="47" t="str">
        <f>VLOOKUP($C9,[1]Summary!$A$4:$D$39,4, FALSE)</f>
        <v>Bob Saenz</v>
      </c>
      <c r="E9" s="48"/>
      <c r="F9" s="48"/>
      <c r="G9" s="47" t="s">
        <v>89</v>
      </c>
      <c r="H9" s="48"/>
      <c r="I9" s="48"/>
      <c r="J9" s="48"/>
      <c r="K9" s="48"/>
      <c r="L9" s="48"/>
      <c r="M9" s="48"/>
      <c r="N9" s="48"/>
      <c r="O9" s="48"/>
      <c r="P9" s="48"/>
      <c r="Q9" s="49">
        <f>SUM(H9:P9)</f>
        <v>0</v>
      </c>
      <c r="S9" s="50" t="s">
        <v>90</v>
      </c>
      <c r="T9" s="51">
        <f t="shared" ref="T9:AB9" si="0">IF(H9&gt;=T11+H10+2,SUM(T11+H10+2),H9)</f>
        <v>0</v>
      </c>
      <c r="U9" s="51">
        <f t="shared" si="0"/>
        <v>0</v>
      </c>
      <c r="V9" s="51">
        <f t="shared" si="0"/>
        <v>0</v>
      </c>
      <c r="W9" s="51">
        <f t="shared" si="0"/>
        <v>0</v>
      </c>
      <c r="X9" s="51">
        <f t="shared" si="0"/>
        <v>0</v>
      </c>
      <c r="Y9" s="51">
        <f t="shared" si="0"/>
        <v>0</v>
      </c>
      <c r="Z9" s="51">
        <f t="shared" si="0"/>
        <v>0</v>
      </c>
      <c r="AA9" s="51">
        <f t="shared" si="0"/>
        <v>0</v>
      </c>
      <c r="AB9" s="51">
        <f t="shared" si="0"/>
        <v>0</v>
      </c>
      <c r="AC9" s="52">
        <f>SUM(T9:AB9)</f>
        <v>0</v>
      </c>
      <c r="AD9" s="40"/>
      <c r="AE9" s="2"/>
      <c r="AH9" s="2"/>
    </row>
    <row r="10" spans="1:38" x14ac:dyDescent="0.4">
      <c r="A10" s="53"/>
      <c r="B10" s="54"/>
      <c r="C10" s="54"/>
      <c r="D10" s="54"/>
      <c r="E10" s="54"/>
      <c r="F10" s="54"/>
      <c r="G10" s="42" t="s">
        <v>91</v>
      </c>
      <c r="H10" s="42">
        <f>IF($A$12="Front",VLOOKUP($Q10,'[1]Handicap Chart'!$B$4:$K$40,2),VLOOKUP($Q10,'[1]Handicap Chart'!$B$4:$K$40,10))</f>
        <v>1</v>
      </c>
      <c r="I10" s="42">
        <f>IF($A$12="Front",VLOOKUP($Q10,'[1]Handicap Chart'!$B$4:$K$40,4),VLOOKUP($Q10,'[1]Handicap Chart'!$B$4:$K$40,3))</f>
        <v>1</v>
      </c>
      <c r="J10" s="42">
        <f>IF($A$12="Front",VLOOKUP($Q10,'[1]Handicap Chart'!$B$4:$K$40,8),VLOOKUP($Q10,'[1]Handicap Chart'!$B$4:$K$40,6))</f>
        <v>1</v>
      </c>
      <c r="K10" s="42">
        <f>IF($A$12="Front",VLOOKUP($Q10,'[1]Handicap Chart'!$B$4:$K$40,9),VLOOKUP($Q10,'[1]Handicap Chart'!$B$4:$K$40,5))</f>
        <v>1</v>
      </c>
      <c r="L10" s="42">
        <f>IF($A$12="Front",VLOOKUP($Q10,'[1]Handicap Chart'!$B$4:$K$40,5),VLOOKUP($Q10,'[1]Handicap Chart'!$B$4:$K$40,4))</f>
        <v>1</v>
      </c>
      <c r="M10" s="42">
        <f>IF($A$12="Front",VLOOKUP($Q10,'[1]Handicap Chart'!$B$4:$K$40,10),VLOOKUP($Q10,'[1]Handicap Chart'!$B$4:$K$40,9))</f>
        <v>1</v>
      </c>
      <c r="N10" s="42">
        <f>IF($A$12="Front",VLOOKUP($Q10,'[1]Handicap Chart'!$B$4:$K$40,3),VLOOKUP($Q10,'[1]Handicap Chart'!$B$4:$K$40,7))</f>
        <v>1</v>
      </c>
      <c r="O10" s="42">
        <f>IF($A$12="Front",VLOOKUP($Q10,'[1]Handicap Chart'!$B$4:$K$40,7),VLOOKUP($Q10,'[1]Handicap Chart'!$B$4:$K$40,8))</f>
        <v>1</v>
      </c>
      <c r="P10" s="42">
        <f>IF($A$12="Front",VLOOKUP($Q10,'[1]Handicap Chart'!$B$4:$K$40,6),VLOOKUP($Q10,'[1]Handicap Chart'!$B$4:$K$40,2))</f>
        <v>1</v>
      </c>
      <c r="Q10" s="55">
        <f>VLOOKUP($C9,[1]Summary!$A$4:$BL$39,47, FALSE)</f>
        <v>9</v>
      </c>
      <c r="S10" s="56" t="s">
        <v>92</v>
      </c>
      <c r="T10" s="57">
        <f>IF(OR(EXACT($E9,"Y"),(EXACT($F9,"Y"))),"-",IF(H11-T11&gt;1,-1,IF(H11-T11=0,1,IF(H11-T11=-1,3,IF(H11-T11=-2,4,IF(H11-T11=-3,5,0))))))</f>
        <v>0</v>
      </c>
      <c r="U10" s="57">
        <f t="shared" ref="U10:AB10" si="1">IF(OR(EXACT($E9,"Y"),(EXACT($F9,"Y"))),"-",IF(I11-U11&gt;1,-1,IF(I11-U11=0,1,IF(I11-U11=-1,3,IF(I11-U11=-2,4,IF(I11-U11=-3,5,0))))))</f>
        <v>0</v>
      </c>
      <c r="V10" s="57">
        <f t="shared" si="1"/>
        <v>0</v>
      </c>
      <c r="W10" s="57">
        <f t="shared" si="1"/>
        <v>0</v>
      </c>
      <c r="X10" s="57">
        <f>IF(OR(EXACT($E9,"Y"),(EXACT($F9,"Y"))),"-",IF(L11-X11&gt;1,-1,IF(L11-X11=0,1,IF(L11-X11=-1,3,IF(L11-X11=-2,4,IF(L11-X11=-3,5,0))))))</f>
        <v>0</v>
      </c>
      <c r="Y10" s="57">
        <f>IF(OR(EXACT($E9,"Y"),(EXACT($F9,"Y"))),"-",IF(M11-Y11&gt;1,-1,IF(M11-Y11=0,1,IF(M11-Y11=-1,3,IF(M11-Y11=-2,4,IF(M11-Y11=-3,5,0))))))</f>
        <v>0</v>
      </c>
      <c r="Z10" s="57">
        <f t="shared" si="1"/>
        <v>0</v>
      </c>
      <c r="AA10" s="57">
        <f t="shared" si="1"/>
        <v>0</v>
      </c>
      <c r="AB10" s="57">
        <f t="shared" si="1"/>
        <v>0</v>
      </c>
      <c r="AC10" s="58">
        <f>IF(EXACT(E9,"Y"),6,IF(EXACT(F9,"Y"),2,SUM(T10:AB10)))</f>
        <v>0</v>
      </c>
      <c r="AD10" s="40"/>
      <c r="AE10" s="2"/>
      <c r="AH10" s="2"/>
    </row>
    <row r="11" spans="1:38" ht="15" thickBot="1" x14ac:dyDescent="0.45">
      <c r="A11" s="53"/>
      <c r="B11" s="54"/>
      <c r="C11" s="54"/>
      <c r="D11" s="54"/>
      <c r="E11" s="54"/>
      <c r="F11" s="54"/>
      <c r="G11" s="59" t="s">
        <v>93</v>
      </c>
      <c r="H11" s="60">
        <f t="shared" ref="H11:P11" si="2">IF(OR(EXACT($E9,"Y"),(EXACT($F9,"Y"))),"-",H9-H10)</f>
        <v>-1</v>
      </c>
      <c r="I11" s="60">
        <f t="shared" si="2"/>
        <v>-1</v>
      </c>
      <c r="J11" s="60">
        <f t="shared" si="2"/>
        <v>-1</v>
      </c>
      <c r="K11" s="60">
        <f t="shared" si="2"/>
        <v>-1</v>
      </c>
      <c r="L11" s="60">
        <f t="shared" si="2"/>
        <v>-1</v>
      </c>
      <c r="M11" s="60">
        <f t="shared" si="2"/>
        <v>-1</v>
      </c>
      <c r="N11" s="60">
        <f t="shared" si="2"/>
        <v>-1</v>
      </c>
      <c r="O11" s="60">
        <f t="shared" si="2"/>
        <v>-1</v>
      </c>
      <c r="P11" s="60">
        <f t="shared" si="2"/>
        <v>-1</v>
      </c>
      <c r="Q11" s="61">
        <f>SUM(H11:P11)</f>
        <v>-9</v>
      </c>
      <c r="S11" s="62" t="str">
        <f>$A$12</f>
        <v>Front</v>
      </c>
      <c r="T11" s="42">
        <f t="shared" ref="T11:AB11" si="3">IF($A$12="Front",T$1,T$2)</f>
        <v>4</v>
      </c>
      <c r="U11" s="42">
        <f t="shared" si="3"/>
        <v>3</v>
      </c>
      <c r="V11" s="42">
        <f t="shared" si="3"/>
        <v>4</v>
      </c>
      <c r="W11" s="42">
        <f t="shared" si="3"/>
        <v>5</v>
      </c>
      <c r="X11" s="42">
        <f t="shared" si="3"/>
        <v>4</v>
      </c>
      <c r="Y11" s="42">
        <f t="shared" si="3"/>
        <v>3</v>
      </c>
      <c r="Z11" s="42">
        <f t="shared" si="3"/>
        <v>4</v>
      </c>
      <c r="AA11" s="42">
        <f t="shared" si="3"/>
        <v>5</v>
      </c>
      <c r="AB11" s="42">
        <f t="shared" si="3"/>
        <v>4</v>
      </c>
      <c r="AC11" s="55">
        <f>SUM(T11:AB11)</f>
        <v>36</v>
      </c>
      <c r="AD11" s="40"/>
      <c r="AE11" s="2"/>
      <c r="AH11" s="2"/>
    </row>
    <row r="12" spans="1:38" x14ac:dyDescent="0.4">
      <c r="A12" s="63" t="s">
        <v>74</v>
      </c>
      <c r="B12" s="57">
        <v>8</v>
      </c>
      <c r="C12" s="64">
        <v>16</v>
      </c>
      <c r="D12" s="47" t="str">
        <f>VLOOKUP($C12,[1]Summary!$A$4:$D$39,4, FALSE)</f>
        <v>Dennis Huston</v>
      </c>
      <c r="E12" s="64"/>
      <c r="F12" s="64"/>
      <c r="G12" s="57" t="s">
        <v>89</v>
      </c>
      <c r="H12" s="64"/>
      <c r="I12" s="64"/>
      <c r="J12" s="64"/>
      <c r="K12" s="64"/>
      <c r="L12" s="64"/>
      <c r="M12" s="64"/>
      <c r="N12" s="64"/>
      <c r="O12" s="64"/>
      <c r="P12" s="64"/>
      <c r="Q12" s="49">
        <f>SUM(H12:P12)</f>
        <v>0</v>
      </c>
      <c r="S12" s="65" t="s">
        <v>90</v>
      </c>
      <c r="T12" s="51">
        <f>IF(H12&gt;=T14+H13+2,SUM(T14+H13+2),H12)</f>
        <v>0</v>
      </c>
      <c r="U12" s="51">
        <f t="shared" ref="U12:AB12" si="4">IF(I12&gt;=U14+I13+2,SUM(U14+I13+2),I12)</f>
        <v>0</v>
      </c>
      <c r="V12" s="51">
        <f t="shared" si="4"/>
        <v>0</v>
      </c>
      <c r="W12" s="51">
        <f t="shared" si="4"/>
        <v>0</v>
      </c>
      <c r="X12" s="51">
        <f t="shared" si="4"/>
        <v>0</v>
      </c>
      <c r="Y12" s="51">
        <f t="shared" si="4"/>
        <v>0</v>
      </c>
      <c r="Z12" s="51">
        <f t="shared" si="4"/>
        <v>0</v>
      </c>
      <c r="AA12" s="51">
        <f t="shared" si="4"/>
        <v>0</v>
      </c>
      <c r="AB12" s="51">
        <f t="shared" si="4"/>
        <v>0</v>
      </c>
      <c r="AC12" s="61">
        <f>SUM(T12:AB12)</f>
        <v>0</v>
      </c>
      <c r="AD12" s="40"/>
      <c r="AE12" s="2"/>
      <c r="AH12" s="2"/>
    </row>
    <row r="13" spans="1:38" ht="15" thickBot="1" x14ac:dyDescent="0.45">
      <c r="A13" s="53"/>
      <c r="B13" s="54"/>
      <c r="C13" s="54"/>
      <c r="D13" s="54"/>
      <c r="E13" s="54"/>
      <c r="F13" s="54"/>
      <c r="G13" s="42" t="s">
        <v>91</v>
      </c>
      <c r="H13" s="42">
        <f>IF($A$12="Front",VLOOKUP($Q13,'[1]Handicap Chart'!$B$4:$K$40,2),VLOOKUP($Q13,'[1]Handicap Chart'!$B$4:$K$40,10))</f>
        <v>1</v>
      </c>
      <c r="I13" s="42">
        <f>IF($A$12="Front",VLOOKUP($Q13,'[1]Handicap Chart'!$B$4:$K$40,4),VLOOKUP($Q13,'[1]Handicap Chart'!$B$4:$K$40,3))</f>
        <v>1</v>
      </c>
      <c r="J13" s="42">
        <f>IF($A$12="Front",VLOOKUP($Q13,'[1]Handicap Chart'!$B$4:$K$40,8),VLOOKUP($Q13,'[1]Handicap Chart'!$B$4:$K$40,6))</f>
        <v>1</v>
      </c>
      <c r="K13" s="42">
        <f>IF($A$12="Front",VLOOKUP($Q13,'[1]Handicap Chart'!$B$4:$K$40,9),VLOOKUP($Q13,'[1]Handicap Chart'!$B$4:$K$40,5))</f>
        <v>1</v>
      </c>
      <c r="L13" s="42">
        <f>IF($A$12="Front",VLOOKUP($Q13,'[1]Handicap Chart'!$B$4:$K$40,5),VLOOKUP($Q13,'[1]Handicap Chart'!$B$4:$K$40,4))</f>
        <v>1</v>
      </c>
      <c r="M13" s="42">
        <f>IF($A$12="Front",VLOOKUP($Q13,'[1]Handicap Chart'!$B$4:$K$40,10),VLOOKUP($Q13,'[1]Handicap Chart'!$B$4:$K$40,9))</f>
        <v>1</v>
      </c>
      <c r="N13" s="42">
        <f>IF($A$12="Front",VLOOKUP($Q13,'[1]Handicap Chart'!$B$4:$K$40,3),VLOOKUP($Q13,'[1]Handicap Chart'!$B$4:$K$40,7))</f>
        <v>1</v>
      </c>
      <c r="O13" s="42">
        <f>IF($A$12="Front",VLOOKUP($Q13,'[1]Handicap Chart'!$B$4:$K$40,7),VLOOKUP($Q13,'[1]Handicap Chart'!$B$4:$K$40,8))</f>
        <v>1</v>
      </c>
      <c r="P13" s="42">
        <f>IF($A$12="Front",VLOOKUP($Q13,'[1]Handicap Chart'!$B$4:$K$40,6),VLOOKUP($Q13,'[1]Handicap Chart'!$B$4:$K$40,2))</f>
        <v>1</v>
      </c>
      <c r="Q13" s="55">
        <f>VLOOKUP($C12,[1]Summary!$A$4:$BL$39,47, FALSE)</f>
        <v>9</v>
      </c>
      <c r="S13" s="56" t="s">
        <v>92</v>
      </c>
      <c r="T13" s="57">
        <f t="shared" ref="T13:AB13" si="5">IF(OR(EXACT($E12,"Y"),(EXACT($F12,"Y"))),"-",IF(H14-T14&gt;1,-1,IF(H14-T14=0,1,IF(H14-T14=-1,3,IF(H14-T14=-2,4,IF(H14-T14=-3,5,0))))))</f>
        <v>0</v>
      </c>
      <c r="U13" s="57">
        <f t="shared" si="5"/>
        <v>0</v>
      </c>
      <c r="V13" s="57">
        <f t="shared" si="5"/>
        <v>0</v>
      </c>
      <c r="W13" s="57">
        <f t="shared" si="5"/>
        <v>0</v>
      </c>
      <c r="X13" s="57">
        <f t="shared" si="5"/>
        <v>0</v>
      </c>
      <c r="Y13" s="57">
        <f t="shared" si="5"/>
        <v>0</v>
      </c>
      <c r="Z13" s="57">
        <f t="shared" si="5"/>
        <v>0</v>
      </c>
      <c r="AA13" s="57">
        <f t="shared" si="5"/>
        <v>0</v>
      </c>
      <c r="AB13" s="57">
        <f t="shared" si="5"/>
        <v>0</v>
      </c>
      <c r="AC13" s="58">
        <f>IF(EXACT(E12,"Y"),6,IF(EXACT(F12,"Y"),2,SUM(T13:AB13)))</f>
        <v>0</v>
      </c>
      <c r="AD13" s="40"/>
      <c r="AE13" s="2"/>
      <c r="AH13" s="2"/>
    </row>
    <row r="14" spans="1:38" ht="15" thickBot="1" x14ac:dyDescent="0.45">
      <c r="A14" s="53"/>
      <c r="B14" s="54"/>
      <c r="C14" s="54"/>
      <c r="D14" s="54"/>
      <c r="E14" s="54"/>
      <c r="F14" s="54"/>
      <c r="G14" s="59" t="s">
        <v>93</v>
      </c>
      <c r="H14" s="60">
        <f t="shared" ref="H14:P14" si="6">IF(OR(EXACT($E12,"Y"),(EXACT($F12,"Y"))),"-",H12-H13)</f>
        <v>-1</v>
      </c>
      <c r="I14" s="60">
        <f t="shared" si="6"/>
        <v>-1</v>
      </c>
      <c r="J14" s="60">
        <f t="shared" si="6"/>
        <v>-1</v>
      </c>
      <c r="K14" s="60">
        <f t="shared" si="6"/>
        <v>-1</v>
      </c>
      <c r="L14" s="60">
        <f t="shared" si="6"/>
        <v>-1</v>
      </c>
      <c r="M14" s="60">
        <f t="shared" si="6"/>
        <v>-1</v>
      </c>
      <c r="N14" s="60">
        <f t="shared" si="6"/>
        <v>-1</v>
      </c>
      <c r="O14" s="60">
        <f t="shared" si="6"/>
        <v>-1</v>
      </c>
      <c r="P14" s="60">
        <f t="shared" si="6"/>
        <v>-1</v>
      </c>
      <c r="Q14" s="61">
        <f>SUM(H14:P14)</f>
        <v>-9</v>
      </c>
      <c r="S14" s="62" t="str">
        <f>$A$12</f>
        <v>Front</v>
      </c>
      <c r="T14" s="42">
        <f t="shared" ref="T14:AB14" si="7">IF($A$12="Front",T$1,T$2)</f>
        <v>4</v>
      </c>
      <c r="U14" s="42">
        <f t="shared" si="7"/>
        <v>3</v>
      </c>
      <c r="V14" s="42">
        <f t="shared" si="7"/>
        <v>4</v>
      </c>
      <c r="W14" s="42">
        <f t="shared" si="7"/>
        <v>5</v>
      </c>
      <c r="X14" s="42">
        <f t="shared" si="7"/>
        <v>4</v>
      </c>
      <c r="Y14" s="42">
        <f t="shared" si="7"/>
        <v>3</v>
      </c>
      <c r="Z14" s="42">
        <f t="shared" si="7"/>
        <v>4</v>
      </c>
      <c r="AA14" s="42">
        <f t="shared" si="7"/>
        <v>5</v>
      </c>
      <c r="AB14" s="42">
        <f t="shared" si="7"/>
        <v>4</v>
      </c>
      <c r="AC14" s="55">
        <f>SUM(T14:AB14)</f>
        <v>36</v>
      </c>
      <c r="AD14" s="40">
        <f>B9</f>
        <v>8</v>
      </c>
      <c r="AE14" s="66">
        <f>AC10+AC13</f>
        <v>0</v>
      </c>
      <c r="AF14" s="66">
        <f>IF(AC10&gt;=AC16,IF(AC10&gt;AC16,IF(AC13&gt;=AC19,IF(AC13&gt;AC19,4,3),2),IF(AC13&gt;=AC19,IF(AC13&gt;AC19,3,2),IF(AC13&gt;=AC19,IF(AC13&gt;AC19,2,1),1))),IF(AC13&gt;=AC19,IF(AC13&gt;AC19,2,1),0))</f>
        <v>1</v>
      </c>
      <c r="AG14" s="66">
        <f>IF(AE14&gt;AE20,4,IF(AE14=AE20,2,0))</f>
        <v>0</v>
      </c>
      <c r="AH14" s="67">
        <v>8</v>
      </c>
      <c r="AI14" s="67">
        <f>SUM(AF14:AH14)</f>
        <v>9</v>
      </c>
    </row>
    <row r="15" spans="1:38" x14ac:dyDescent="0.4">
      <c r="A15" s="63" t="s">
        <v>94</v>
      </c>
      <c r="B15" s="68">
        <v>10</v>
      </c>
      <c r="C15" s="69">
        <v>20</v>
      </c>
      <c r="D15" s="68" t="str">
        <f>VLOOKUP($C15,[1]Summary!$A$4:$BL$39,4, FALSE)</f>
        <v>Chris Nelson</v>
      </c>
      <c r="E15" s="69"/>
      <c r="F15" s="69"/>
      <c r="G15" s="68" t="s">
        <v>89</v>
      </c>
      <c r="H15" s="69"/>
      <c r="I15" s="69"/>
      <c r="J15" s="69"/>
      <c r="K15" s="69"/>
      <c r="L15" s="69"/>
      <c r="M15" s="69"/>
      <c r="N15" s="69"/>
      <c r="O15" s="69"/>
      <c r="P15" s="69"/>
      <c r="Q15" s="70">
        <f>SUM(H15:P15)</f>
        <v>0</v>
      </c>
      <c r="S15" s="65" t="s">
        <v>90</v>
      </c>
      <c r="T15" s="51">
        <f t="shared" ref="T15:AB15" si="8">IF(H15&gt;=T17+H16+2,SUM(T17+H16+2),H15)</f>
        <v>0</v>
      </c>
      <c r="U15" s="51">
        <f t="shared" si="8"/>
        <v>0</v>
      </c>
      <c r="V15" s="51">
        <f t="shared" si="8"/>
        <v>0</v>
      </c>
      <c r="W15" s="51">
        <f t="shared" si="8"/>
        <v>0</v>
      </c>
      <c r="X15" s="51">
        <f t="shared" si="8"/>
        <v>0</v>
      </c>
      <c r="Y15" s="51">
        <f t="shared" si="8"/>
        <v>0</v>
      </c>
      <c r="Z15" s="51">
        <f t="shared" si="8"/>
        <v>0</v>
      </c>
      <c r="AA15" s="51">
        <f t="shared" si="8"/>
        <v>0</v>
      </c>
      <c r="AB15" s="51">
        <f t="shared" si="8"/>
        <v>0</v>
      </c>
      <c r="AC15" s="61">
        <f>SUM(T15:AB15)</f>
        <v>0</v>
      </c>
      <c r="AD15" s="40"/>
      <c r="AE15" s="2"/>
      <c r="AH15" s="2">
        <v>0</v>
      </c>
    </row>
    <row r="16" spans="1:38" x14ac:dyDescent="0.4">
      <c r="A16" s="53"/>
      <c r="B16" s="54"/>
      <c r="C16" s="54"/>
      <c r="D16" s="54"/>
      <c r="E16" s="54"/>
      <c r="F16" s="54"/>
      <c r="G16" s="42" t="s">
        <v>91</v>
      </c>
      <c r="H16" s="42">
        <f>IF($A$12="Front",VLOOKUP($Q16,'[1]Handicap Chart'!$B$4:$K$40,2),VLOOKUP($Q16,'[1]Handicap Chart'!$B$4:$K$40,10))</f>
        <v>1</v>
      </c>
      <c r="I16" s="42">
        <f>IF($A$12="Front",VLOOKUP($Q16,'[1]Handicap Chart'!$B$4:$K$40,4),VLOOKUP($Q16,'[1]Handicap Chart'!$B$4:$K$40,3))</f>
        <v>1</v>
      </c>
      <c r="J16" s="42">
        <f>IF($A$12="Front",VLOOKUP($Q16,'[1]Handicap Chart'!$B$4:$K$40,8),VLOOKUP($Q16,'[1]Handicap Chart'!$B$4:$K$40,6))</f>
        <v>0</v>
      </c>
      <c r="K16" s="42">
        <f>IF($A$12="Front",VLOOKUP($Q16,'[1]Handicap Chart'!$B$4:$K$40,9),VLOOKUP($Q16,'[1]Handicap Chart'!$B$4:$K$40,5))</f>
        <v>0</v>
      </c>
      <c r="L16" s="42">
        <f>IF($A$12="Front",VLOOKUP($Q16,'[1]Handicap Chart'!$B$4:$K$40,5),VLOOKUP($Q16,'[1]Handicap Chart'!$B$4:$K$40,4))</f>
        <v>1</v>
      </c>
      <c r="M16" s="42">
        <f>IF($A$12="Front",VLOOKUP($Q16,'[1]Handicap Chart'!$B$4:$K$40,10),VLOOKUP($Q16,'[1]Handicap Chart'!$B$4:$K$40,9))</f>
        <v>0</v>
      </c>
      <c r="N16" s="42">
        <f>IF($A$12="Front",VLOOKUP($Q16,'[1]Handicap Chart'!$B$4:$K$40,3),VLOOKUP($Q16,'[1]Handicap Chart'!$B$4:$K$40,7))</f>
        <v>1</v>
      </c>
      <c r="O16" s="42">
        <f>IF($A$12="Front",VLOOKUP($Q16,'[1]Handicap Chart'!$B$4:$K$40,7),VLOOKUP($Q16,'[1]Handicap Chart'!$B$4:$K$40,8))</f>
        <v>0</v>
      </c>
      <c r="P16" s="42">
        <f>IF($A$12="Front",VLOOKUP($Q16,'[1]Handicap Chart'!$B$4:$K$40,6),VLOOKUP($Q16,'[1]Handicap Chart'!$B$4:$K$40,2))</f>
        <v>1</v>
      </c>
      <c r="Q16" s="55">
        <f>VLOOKUP($C15,[1]Summary!$A$4:$BL$39,47, FALSE)</f>
        <v>5</v>
      </c>
      <c r="S16" s="71" t="s">
        <v>92</v>
      </c>
      <c r="T16" s="71">
        <f>IF(OR(EXACT($E15,"Y"),(EXACT($F15,"Y"))),"-",IF(H17-T17&gt;1,-1,IF(H17-T17=0,1,IF(H17-T17=-1,3,IF(H17-T17=-2,4,IF(H17-T17=-3,5,0))))))</f>
        <v>0</v>
      </c>
      <c r="U16" s="71">
        <f t="shared" ref="U16:AB16" si="9">IF(OR(EXACT($E15,"Y"),(EXACT($F15,"Y"))),"-",IF(I17-U17&gt;1,-1,IF(I17-U17=0,1,IF(I17-U17=-1,3,IF(I17-U17=-2,4,IF(I17-U17=-3,5,0))))))</f>
        <v>0</v>
      </c>
      <c r="V16" s="71">
        <f t="shared" si="9"/>
        <v>0</v>
      </c>
      <c r="W16" s="71">
        <f t="shared" si="9"/>
        <v>0</v>
      </c>
      <c r="X16" s="71">
        <f t="shared" si="9"/>
        <v>0</v>
      </c>
      <c r="Y16" s="71">
        <f t="shared" si="9"/>
        <v>5</v>
      </c>
      <c r="Z16" s="71">
        <f t="shared" si="9"/>
        <v>0</v>
      </c>
      <c r="AA16" s="71">
        <f t="shared" si="9"/>
        <v>0</v>
      </c>
      <c r="AB16" s="71">
        <f t="shared" si="9"/>
        <v>0</v>
      </c>
      <c r="AC16" s="70">
        <f>IF(EXACT(E15,"Y"),6,IF(EXACT(F15,"Y"),2,SUM(T16:AB16)))</f>
        <v>5</v>
      </c>
      <c r="AD16" s="40"/>
      <c r="AE16" s="2"/>
      <c r="AH16" s="2"/>
    </row>
    <row r="17" spans="1:35" x14ac:dyDescent="0.4">
      <c r="A17" s="53"/>
      <c r="B17" s="54"/>
      <c r="C17" s="54"/>
      <c r="D17" s="54"/>
      <c r="E17" s="54"/>
      <c r="F17" s="54"/>
      <c r="G17" s="59" t="s">
        <v>93</v>
      </c>
      <c r="H17" s="60">
        <f t="shared" ref="H17:P17" si="10">IF(OR(EXACT($E15,"Y"),(EXACT($F15,"Y"))),"-",H15-H16)</f>
        <v>-1</v>
      </c>
      <c r="I17" s="60">
        <f t="shared" si="10"/>
        <v>-1</v>
      </c>
      <c r="J17" s="60">
        <f t="shared" si="10"/>
        <v>0</v>
      </c>
      <c r="K17" s="60">
        <f t="shared" si="10"/>
        <v>0</v>
      </c>
      <c r="L17" s="60">
        <f t="shared" si="10"/>
        <v>-1</v>
      </c>
      <c r="M17" s="60">
        <f t="shared" si="10"/>
        <v>0</v>
      </c>
      <c r="N17" s="60">
        <f t="shared" si="10"/>
        <v>-1</v>
      </c>
      <c r="O17" s="60">
        <f t="shared" si="10"/>
        <v>0</v>
      </c>
      <c r="P17" s="60">
        <f t="shared" si="10"/>
        <v>-1</v>
      </c>
      <c r="Q17" s="61">
        <f>SUM(H17:P17)</f>
        <v>-5</v>
      </c>
      <c r="S17" s="62" t="str">
        <f>$A$12</f>
        <v>Front</v>
      </c>
      <c r="T17" s="42">
        <f t="shared" ref="T17:AB17" si="11">IF($A$12="Front",T$1,T$2)</f>
        <v>4</v>
      </c>
      <c r="U17" s="42">
        <f t="shared" si="11"/>
        <v>3</v>
      </c>
      <c r="V17" s="42">
        <f t="shared" si="11"/>
        <v>4</v>
      </c>
      <c r="W17" s="42">
        <f t="shared" si="11"/>
        <v>5</v>
      </c>
      <c r="X17" s="42">
        <f t="shared" si="11"/>
        <v>4</v>
      </c>
      <c r="Y17" s="42">
        <f t="shared" si="11"/>
        <v>3</v>
      </c>
      <c r="Z17" s="42">
        <f t="shared" si="11"/>
        <v>4</v>
      </c>
      <c r="AA17" s="42">
        <f t="shared" si="11"/>
        <v>5</v>
      </c>
      <c r="AB17" s="42">
        <f t="shared" si="11"/>
        <v>4</v>
      </c>
      <c r="AC17" s="55">
        <f>SUM(T17:AB17)</f>
        <v>36</v>
      </c>
      <c r="AD17" s="40"/>
      <c r="AE17" s="2"/>
      <c r="AH17" s="2"/>
    </row>
    <row r="18" spans="1:35" x14ac:dyDescent="0.4">
      <c r="A18" s="63" t="s">
        <v>95</v>
      </c>
      <c r="B18" s="68">
        <v>10</v>
      </c>
      <c r="C18" s="69">
        <v>19</v>
      </c>
      <c r="D18" s="68" t="str">
        <f>VLOOKUP($C18,[1]Summary!$A$4:$BL$39,4, FALSE)</f>
        <v>Tom Mulvey</v>
      </c>
      <c r="E18" s="69"/>
      <c r="F18" s="69"/>
      <c r="G18" s="68" t="s">
        <v>89</v>
      </c>
      <c r="H18" s="69"/>
      <c r="I18" s="69"/>
      <c r="J18" s="69"/>
      <c r="K18" s="69"/>
      <c r="L18" s="69"/>
      <c r="M18" s="69"/>
      <c r="N18" s="69"/>
      <c r="O18" s="69"/>
      <c r="P18" s="69"/>
      <c r="Q18" s="70">
        <f>SUM(H18:P18)</f>
        <v>0</v>
      </c>
      <c r="S18" s="65" t="s">
        <v>90</v>
      </c>
      <c r="T18" s="51">
        <f t="shared" ref="T18:AB18" si="12">IF(H18&gt;=T20+H19+2,SUM(T20+H19+2),H18)</f>
        <v>0</v>
      </c>
      <c r="U18" s="51">
        <f t="shared" si="12"/>
        <v>0</v>
      </c>
      <c r="V18" s="51">
        <f t="shared" si="12"/>
        <v>0</v>
      </c>
      <c r="W18" s="51">
        <f t="shared" si="12"/>
        <v>0</v>
      </c>
      <c r="X18" s="51">
        <f t="shared" si="12"/>
        <v>0</v>
      </c>
      <c r="Y18" s="51">
        <f t="shared" si="12"/>
        <v>0</v>
      </c>
      <c r="Z18" s="51">
        <f t="shared" si="12"/>
        <v>0</v>
      </c>
      <c r="AA18" s="51">
        <f t="shared" si="12"/>
        <v>0</v>
      </c>
      <c r="AB18" s="51">
        <f t="shared" si="12"/>
        <v>0</v>
      </c>
      <c r="AC18" s="61">
        <f>SUM(T18:AB18)</f>
        <v>0</v>
      </c>
      <c r="AD18" s="40"/>
      <c r="AE18" s="2"/>
      <c r="AH18" s="2"/>
    </row>
    <row r="19" spans="1:35" ht="15" thickBot="1" x14ac:dyDescent="0.45">
      <c r="A19" s="53"/>
      <c r="B19" s="54"/>
      <c r="C19" s="54"/>
      <c r="D19" s="54"/>
      <c r="E19" s="54"/>
      <c r="F19" s="54"/>
      <c r="G19" s="42" t="s">
        <v>91</v>
      </c>
      <c r="H19" s="42">
        <f>IF($A$12="Front",VLOOKUP($Q19,'[1]Handicap Chart'!$B$4:$K$40,2),VLOOKUP($Q19,'[1]Handicap Chart'!$B$4:$K$40,10))</f>
        <v>1</v>
      </c>
      <c r="I19" s="42">
        <f>IF($A$12="Front",VLOOKUP($Q19,'[1]Handicap Chart'!$B$4:$K$40,4),VLOOKUP($Q19,'[1]Handicap Chart'!$B$4:$K$40,3))</f>
        <v>1</v>
      </c>
      <c r="J19" s="42">
        <f>IF($A$12="Front",VLOOKUP($Q19,'[1]Handicap Chart'!$B$4:$K$40,8),VLOOKUP($Q19,'[1]Handicap Chart'!$B$4:$K$40,6))</f>
        <v>1</v>
      </c>
      <c r="K19" s="42">
        <f>IF($A$12="Front",VLOOKUP($Q19,'[1]Handicap Chart'!$B$4:$K$40,9),VLOOKUP($Q19,'[1]Handicap Chart'!$B$4:$K$40,5))</f>
        <v>1</v>
      </c>
      <c r="L19" s="42">
        <f>IF($A$12="Front",VLOOKUP($Q19,'[1]Handicap Chart'!$B$4:$K$40,5),VLOOKUP($Q19,'[1]Handicap Chart'!$B$4:$K$40,4))</f>
        <v>1</v>
      </c>
      <c r="M19" s="42">
        <f>IF($A$12="Front",VLOOKUP($Q19,'[1]Handicap Chart'!$B$4:$K$40,10),VLOOKUP($Q19,'[1]Handicap Chart'!$B$4:$K$40,9))</f>
        <v>1</v>
      </c>
      <c r="N19" s="42">
        <f>IF($A$12="Front",VLOOKUP($Q19,'[1]Handicap Chart'!$B$4:$K$40,3),VLOOKUP($Q19,'[1]Handicap Chart'!$B$4:$K$40,7))</f>
        <v>1</v>
      </c>
      <c r="O19" s="42">
        <f>IF($A$12="Front",VLOOKUP($Q19,'[1]Handicap Chart'!$B$4:$K$40,7),VLOOKUP($Q19,'[1]Handicap Chart'!$B$4:$K$40,8))</f>
        <v>1</v>
      </c>
      <c r="P19" s="42">
        <f>IF($A$12="Front",VLOOKUP($Q19,'[1]Handicap Chart'!$B$4:$K$40,6),VLOOKUP($Q19,'[1]Handicap Chart'!$B$4:$K$40,2))</f>
        <v>1</v>
      </c>
      <c r="Q19" s="55">
        <f>VLOOKUP($C18,[1]Summary!$A$4:$BL$39,47, FALSE)</f>
        <v>9</v>
      </c>
      <c r="S19" s="71" t="s">
        <v>92</v>
      </c>
      <c r="T19" s="71">
        <f>IF(OR(EXACT($E18,"Y"),(EXACT($F18,"Y"))),"-",IF(H20-T20&gt;1,-1,IF(H20-T20=0,1,IF(H20-T20=-1,3,IF(H20-T20=-2,4,IF(H20-T20=-3,5,0))))))</f>
        <v>0</v>
      </c>
      <c r="U19" s="71">
        <f t="shared" ref="U19:AB19" si="13">IF(OR(EXACT($E18,"Y"),(EXACT($F18,"Y"))),"-",IF(I20-U20&gt;1,-1,IF(I20-U20=0,1,IF(I20-U20=-1,3,IF(I20-U20=-2,4,IF(I20-U20=-3,5,0))))))</f>
        <v>0</v>
      </c>
      <c r="V19" s="71">
        <f t="shared" si="13"/>
        <v>0</v>
      </c>
      <c r="W19" s="71">
        <f t="shared" si="13"/>
        <v>0</v>
      </c>
      <c r="X19" s="71">
        <f t="shared" si="13"/>
        <v>0</v>
      </c>
      <c r="Y19" s="71">
        <f t="shared" si="13"/>
        <v>0</v>
      </c>
      <c r="Z19" s="71">
        <f t="shared" si="13"/>
        <v>0</v>
      </c>
      <c r="AA19" s="71">
        <f t="shared" si="13"/>
        <v>0</v>
      </c>
      <c r="AB19" s="71">
        <f t="shared" si="13"/>
        <v>0</v>
      </c>
      <c r="AC19" s="70">
        <f>IF(EXACT(E18,"Y"),6,IF(EXACT(F18,"Y"),2,SUM(T19:AB19)))</f>
        <v>0</v>
      </c>
      <c r="AD19" s="40"/>
      <c r="AE19" s="2"/>
      <c r="AH19" s="2"/>
    </row>
    <row r="20" spans="1:35" ht="15" thickBot="1" x14ac:dyDescent="0.45">
      <c r="A20" s="72"/>
      <c r="B20" s="73"/>
      <c r="C20" s="73"/>
      <c r="D20" s="73"/>
      <c r="E20" s="73"/>
      <c r="F20" s="73"/>
      <c r="G20" s="74" t="s">
        <v>93</v>
      </c>
      <c r="H20" s="60">
        <f t="shared" ref="H20:P20" si="14">IF(OR(EXACT($E18,"Y"),(EXACT($F18,"Y"))),"-",H18-H19)</f>
        <v>-1</v>
      </c>
      <c r="I20" s="60">
        <f t="shared" si="14"/>
        <v>-1</v>
      </c>
      <c r="J20" s="60">
        <f t="shared" si="14"/>
        <v>-1</v>
      </c>
      <c r="K20" s="60">
        <f t="shared" si="14"/>
        <v>-1</v>
      </c>
      <c r="L20" s="60">
        <f t="shared" si="14"/>
        <v>-1</v>
      </c>
      <c r="M20" s="60">
        <f t="shared" si="14"/>
        <v>-1</v>
      </c>
      <c r="N20" s="60">
        <f t="shared" si="14"/>
        <v>-1</v>
      </c>
      <c r="O20" s="60">
        <f t="shared" si="14"/>
        <v>-1</v>
      </c>
      <c r="P20" s="60">
        <f t="shared" si="14"/>
        <v>-1</v>
      </c>
      <c r="Q20" s="75">
        <f>SUM(H20:P20)</f>
        <v>-9</v>
      </c>
      <c r="S20" s="27" t="str">
        <f>$A$12</f>
        <v>Front</v>
      </c>
      <c r="T20" s="76">
        <f t="shared" ref="T20:AB20" si="15">IF($A$12="Front",T$1,T$2)</f>
        <v>4</v>
      </c>
      <c r="U20" s="76">
        <f t="shared" si="15"/>
        <v>3</v>
      </c>
      <c r="V20" s="76">
        <f t="shared" si="15"/>
        <v>4</v>
      </c>
      <c r="W20" s="76">
        <f t="shared" si="15"/>
        <v>5</v>
      </c>
      <c r="X20" s="76">
        <f t="shared" si="15"/>
        <v>4</v>
      </c>
      <c r="Y20" s="76">
        <f t="shared" si="15"/>
        <v>3</v>
      </c>
      <c r="Z20" s="76">
        <f t="shared" si="15"/>
        <v>4</v>
      </c>
      <c r="AA20" s="76">
        <f t="shared" si="15"/>
        <v>5</v>
      </c>
      <c r="AB20" s="76">
        <f t="shared" si="15"/>
        <v>4</v>
      </c>
      <c r="AC20" s="77">
        <f>SUM(T20:AB20)</f>
        <v>36</v>
      </c>
      <c r="AD20" s="40">
        <f>B15</f>
        <v>10</v>
      </c>
      <c r="AE20" s="78">
        <f>AC16+AC19</f>
        <v>5</v>
      </c>
      <c r="AF20" s="78">
        <f>IF(AC16&gt;=AC10,IF(AC16&gt;AC10,IF(AC19&gt;=AC13,IF(AC19&gt;AC13,4,3),2),IF(AC19&gt;=AC13,IF(AC19&gt;AC13,3,2),IF(AC19&gt;=AC13,IF(AC19&gt;AC13,2,1),1))),IF(AC19&gt;=AC13,IF(AC19&gt;AC13,2,1),0))</f>
        <v>3</v>
      </c>
      <c r="AG20" s="78">
        <f>IF(AE20&gt;AE14,4,IF(AE20=AE14,2,0))</f>
        <v>4</v>
      </c>
      <c r="AH20" s="79">
        <v>2</v>
      </c>
      <c r="AI20" s="79">
        <f>SUM(AF20:AH20)</f>
        <v>9</v>
      </c>
    </row>
    <row r="21" spans="1:35" ht="15" thickBo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40"/>
      <c r="AE21" s="2"/>
      <c r="AH21" s="2"/>
    </row>
    <row r="22" spans="1:35" ht="15" thickBot="1" x14ac:dyDescent="0.45">
      <c r="A22" s="42" t="s">
        <v>82</v>
      </c>
      <c r="B22" s="42" t="s">
        <v>0</v>
      </c>
      <c r="C22" s="42" t="s">
        <v>6</v>
      </c>
      <c r="D22" s="42" t="s">
        <v>84</v>
      </c>
      <c r="E22" s="42" t="s">
        <v>85</v>
      </c>
      <c r="F22" s="42" t="s">
        <v>86</v>
      </c>
      <c r="G22" s="42"/>
      <c r="H22" s="42">
        <v>1</v>
      </c>
      <c r="I22" s="42">
        <v>2</v>
      </c>
      <c r="J22" s="42">
        <v>3</v>
      </c>
      <c r="K22" s="42">
        <v>4</v>
      </c>
      <c r="L22" s="42">
        <v>5</v>
      </c>
      <c r="M22" s="42">
        <v>6</v>
      </c>
      <c r="N22" s="42">
        <v>7</v>
      </c>
      <c r="O22" s="42">
        <v>8</v>
      </c>
      <c r="P22" s="42">
        <v>9</v>
      </c>
      <c r="Q22" s="42" t="s">
        <v>87</v>
      </c>
      <c r="S22" s="43" t="s">
        <v>88</v>
      </c>
      <c r="T22" s="44">
        <v>1</v>
      </c>
      <c r="U22" s="44">
        <v>2</v>
      </c>
      <c r="V22" s="44">
        <v>3</v>
      </c>
      <c r="W22" s="44">
        <v>4</v>
      </c>
      <c r="X22" s="44">
        <v>5</v>
      </c>
      <c r="Y22" s="44">
        <v>6</v>
      </c>
      <c r="Z22" s="44">
        <v>7</v>
      </c>
      <c r="AA22" s="44">
        <v>8</v>
      </c>
      <c r="AB22" s="44">
        <v>9</v>
      </c>
      <c r="AC22" s="45" t="s">
        <v>4</v>
      </c>
      <c r="AD22" s="40"/>
      <c r="AE22" s="2"/>
      <c r="AH22" s="2"/>
    </row>
    <row r="23" spans="1:35" x14ac:dyDescent="0.4">
      <c r="A23" s="46">
        <v>2</v>
      </c>
      <c r="B23" s="47">
        <v>12</v>
      </c>
      <c r="C23" s="48">
        <v>24</v>
      </c>
      <c r="D23" s="47" t="str">
        <f>VLOOKUP($C23,[1]Summary!$A$4:$D$39,4, FALSE)</f>
        <v>Jake Huckestein</v>
      </c>
      <c r="E23" s="48"/>
      <c r="F23" s="48"/>
      <c r="G23" s="47" t="s">
        <v>89</v>
      </c>
      <c r="H23" s="48"/>
      <c r="I23" s="48"/>
      <c r="J23" s="48"/>
      <c r="K23" s="48"/>
      <c r="L23" s="48"/>
      <c r="M23" s="48"/>
      <c r="N23" s="48"/>
      <c r="O23" s="48"/>
      <c r="P23" s="48"/>
      <c r="Q23" s="49">
        <f>SUM(H23:P23)</f>
        <v>0</v>
      </c>
      <c r="S23" s="50" t="s">
        <v>90</v>
      </c>
      <c r="T23" s="51">
        <f t="shared" ref="T23:AB23" si="16">IF(H23&gt;=T25+H24+2,SUM(T25+H24+2),H23)</f>
        <v>0</v>
      </c>
      <c r="U23" s="51">
        <f t="shared" si="16"/>
        <v>0</v>
      </c>
      <c r="V23" s="51">
        <f t="shared" si="16"/>
        <v>0</v>
      </c>
      <c r="W23" s="51">
        <f t="shared" si="16"/>
        <v>0</v>
      </c>
      <c r="X23" s="51">
        <f t="shared" si="16"/>
        <v>0</v>
      </c>
      <c r="Y23" s="51">
        <f t="shared" si="16"/>
        <v>0</v>
      </c>
      <c r="Z23" s="51">
        <f t="shared" si="16"/>
        <v>0</v>
      </c>
      <c r="AA23" s="51">
        <f t="shared" si="16"/>
        <v>0</v>
      </c>
      <c r="AB23" s="51">
        <f t="shared" si="16"/>
        <v>0</v>
      </c>
      <c r="AC23" s="52">
        <f>SUM(T23:AB23)</f>
        <v>0</v>
      </c>
      <c r="AD23" s="40"/>
      <c r="AE23" s="2"/>
      <c r="AH23" s="2"/>
    </row>
    <row r="24" spans="1:35" x14ac:dyDescent="0.4">
      <c r="A24" s="53"/>
      <c r="B24" s="54"/>
      <c r="C24" s="54"/>
      <c r="D24" s="54"/>
      <c r="E24" s="54"/>
      <c r="F24" s="54"/>
      <c r="G24" s="42" t="s">
        <v>91</v>
      </c>
      <c r="H24" s="42">
        <f>IF($A$26="Front",VLOOKUP($Q24,'[1]Handicap Chart'!$B$4:$K$40,2),VLOOKUP($Q24,'[1]Handicap Chart'!$B$4:$K$40,10))</f>
        <v>1</v>
      </c>
      <c r="I24" s="42">
        <f>IF($A$26="Front",VLOOKUP($Q24,'[1]Handicap Chart'!$B$4:$K$40,4),VLOOKUP($Q24,'[1]Handicap Chart'!$B$4:$K$40,3))</f>
        <v>1</v>
      </c>
      <c r="J24" s="42">
        <f>IF($A$26="Front",VLOOKUP($Q24,'[1]Handicap Chart'!$B$4:$K$40,8),VLOOKUP($Q24,'[1]Handicap Chart'!$B$4:$K$40,6))</f>
        <v>0</v>
      </c>
      <c r="K24" s="42">
        <f>IF($A$26="Front",VLOOKUP($Q24,'[1]Handicap Chart'!$B$4:$K$40,9),VLOOKUP($Q24,'[1]Handicap Chart'!$B$4:$K$40,5))</f>
        <v>0</v>
      </c>
      <c r="L24" s="42">
        <f>IF($A$26="Front",VLOOKUP($Q24,'[1]Handicap Chart'!$B$4:$K$40,5),VLOOKUP($Q24,'[1]Handicap Chart'!$B$4:$K$40,4))</f>
        <v>1</v>
      </c>
      <c r="M24" s="42">
        <f>IF($A$26="Front",VLOOKUP($Q24,'[1]Handicap Chart'!$B$4:$K$40,10),VLOOKUP($Q24,'[1]Handicap Chart'!$B$4:$K$40,9))</f>
        <v>0</v>
      </c>
      <c r="N24" s="42">
        <f>IF($A$26="Front",VLOOKUP($Q24,'[1]Handicap Chart'!$B$4:$K$40,3),VLOOKUP($Q24,'[1]Handicap Chart'!$B$4:$K$40,7))</f>
        <v>1</v>
      </c>
      <c r="O24" s="42">
        <f>IF($A$26="Front",VLOOKUP($Q24,'[1]Handicap Chart'!$B$4:$K$40,7),VLOOKUP($Q24,'[1]Handicap Chart'!$B$4:$K$40,8))</f>
        <v>0</v>
      </c>
      <c r="P24" s="42">
        <f>IF($A$26="Front",VLOOKUP($Q24,'[1]Handicap Chart'!$B$4:$K$40,6),VLOOKUP($Q24,'[1]Handicap Chart'!$B$4:$K$40,2))</f>
        <v>0</v>
      </c>
      <c r="Q24" s="55">
        <f>VLOOKUP($C23,[1]Summary!$A$4:$BL$39,47, FALSE)</f>
        <v>4</v>
      </c>
      <c r="S24" s="56" t="s">
        <v>92</v>
      </c>
      <c r="T24" s="57">
        <f t="shared" ref="T24:AB24" si="17">IF(OR(EXACT($E23,"Y"),(EXACT($F23,"Y"))),"-",IF(H25-T25&gt;1,-1,IF(H25-T25=0,1,IF(H25-T25=-1,3,IF(H25-T25=-2,4,IF(H25-T25=-3,5,0))))))</f>
        <v>0</v>
      </c>
      <c r="U24" s="57">
        <f t="shared" si="17"/>
        <v>0</v>
      </c>
      <c r="V24" s="57">
        <f t="shared" si="17"/>
        <v>0</v>
      </c>
      <c r="W24" s="57">
        <f t="shared" si="17"/>
        <v>0</v>
      </c>
      <c r="X24" s="57">
        <f t="shared" si="17"/>
        <v>0</v>
      </c>
      <c r="Y24" s="57">
        <f t="shared" si="17"/>
        <v>5</v>
      </c>
      <c r="Z24" s="57">
        <f t="shared" si="17"/>
        <v>0</v>
      </c>
      <c r="AA24" s="57">
        <f t="shared" si="17"/>
        <v>0</v>
      </c>
      <c r="AB24" s="57">
        <f t="shared" si="17"/>
        <v>0</v>
      </c>
      <c r="AC24" s="58">
        <f>IF(EXACT(E23,"Y"),6,IF(EXACT(F23,"Y"),2,SUM(T24:AB24)))</f>
        <v>5</v>
      </c>
      <c r="AD24" s="40"/>
      <c r="AE24" s="2"/>
      <c r="AH24" s="2"/>
    </row>
    <row r="25" spans="1:35" ht="15" thickBot="1" x14ac:dyDescent="0.45">
      <c r="A25" s="53"/>
      <c r="B25" s="54"/>
      <c r="C25" s="54"/>
      <c r="D25" s="54"/>
      <c r="E25" s="54"/>
      <c r="F25" s="54"/>
      <c r="G25" s="59" t="s">
        <v>93</v>
      </c>
      <c r="H25" s="60">
        <f t="shared" ref="H25:P25" si="18">IF(OR(EXACT($E23,"Y"),(EXACT($F23,"Y"))),"-",H23-H24)</f>
        <v>-1</v>
      </c>
      <c r="I25" s="60">
        <f t="shared" si="18"/>
        <v>-1</v>
      </c>
      <c r="J25" s="60">
        <f t="shared" si="18"/>
        <v>0</v>
      </c>
      <c r="K25" s="60">
        <f t="shared" si="18"/>
        <v>0</v>
      </c>
      <c r="L25" s="60">
        <f t="shared" si="18"/>
        <v>-1</v>
      </c>
      <c r="M25" s="60">
        <f t="shared" si="18"/>
        <v>0</v>
      </c>
      <c r="N25" s="60">
        <f t="shared" si="18"/>
        <v>-1</v>
      </c>
      <c r="O25" s="60">
        <f t="shared" si="18"/>
        <v>0</v>
      </c>
      <c r="P25" s="60">
        <f t="shared" si="18"/>
        <v>0</v>
      </c>
      <c r="Q25" s="61">
        <f>SUM(H25:P25)</f>
        <v>-4</v>
      </c>
      <c r="S25" s="62" t="str">
        <f>$A$12</f>
        <v>Front</v>
      </c>
      <c r="T25" s="42">
        <f t="shared" ref="T25:AB25" si="19">IF($A$12="Front",T$1,T$2)</f>
        <v>4</v>
      </c>
      <c r="U25" s="42">
        <f t="shared" si="19"/>
        <v>3</v>
      </c>
      <c r="V25" s="42">
        <f t="shared" si="19"/>
        <v>4</v>
      </c>
      <c r="W25" s="42">
        <f t="shared" si="19"/>
        <v>5</v>
      </c>
      <c r="X25" s="42">
        <f t="shared" si="19"/>
        <v>4</v>
      </c>
      <c r="Y25" s="42">
        <f t="shared" si="19"/>
        <v>3</v>
      </c>
      <c r="Z25" s="42">
        <f t="shared" si="19"/>
        <v>4</v>
      </c>
      <c r="AA25" s="42">
        <f t="shared" si="19"/>
        <v>5</v>
      </c>
      <c r="AB25" s="42">
        <f t="shared" si="19"/>
        <v>4</v>
      </c>
      <c r="AC25" s="55">
        <f>SUM(T25:AB25)</f>
        <v>36</v>
      </c>
      <c r="AD25" s="40"/>
      <c r="AE25" s="2"/>
      <c r="AH25" s="2"/>
    </row>
    <row r="26" spans="1:35" x14ac:dyDescent="0.4">
      <c r="A26" s="63" t="s">
        <v>74</v>
      </c>
      <c r="B26" s="57">
        <v>12</v>
      </c>
      <c r="C26" s="64">
        <v>23</v>
      </c>
      <c r="D26" s="47" t="str">
        <f>VLOOKUP($C26,[1]Summary!$A$4:$D$39,4, FALSE)</f>
        <v>Gabe Lorenz</v>
      </c>
      <c r="E26" s="64"/>
      <c r="F26" s="64"/>
      <c r="G26" s="57" t="s">
        <v>89</v>
      </c>
      <c r="H26" s="64"/>
      <c r="I26" s="64"/>
      <c r="J26" s="64"/>
      <c r="K26" s="64"/>
      <c r="L26" s="64"/>
      <c r="M26" s="64"/>
      <c r="N26" s="64"/>
      <c r="O26" s="64"/>
      <c r="P26" s="64"/>
      <c r="Q26" s="49">
        <f>SUM(H26:P26)</f>
        <v>0</v>
      </c>
      <c r="S26" s="65" t="s">
        <v>90</v>
      </c>
      <c r="T26" s="51">
        <f>IF(H26&gt;=T28+H27+2,SUM(T28+H27+2),H26)</f>
        <v>0</v>
      </c>
      <c r="U26" s="51">
        <f t="shared" ref="U26:AB26" si="20">IF(I26&gt;=U28+I27+2,SUM(U28+I27+2),I26)</f>
        <v>0</v>
      </c>
      <c r="V26" s="51">
        <f t="shared" si="20"/>
        <v>0</v>
      </c>
      <c r="W26" s="51">
        <f t="shared" si="20"/>
        <v>0</v>
      </c>
      <c r="X26" s="51">
        <f t="shared" si="20"/>
        <v>0</v>
      </c>
      <c r="Y26" s="51">
        <f t="shared" si="20"/>
        <v>0</v>
      </c>
      <c r="Z26" s="51">
        <f t="shared" si="20"/>
        <v>0</v>
      </c>
      <c r="AA26" s="51">
        <f t="shared" si="20"/>
        <v>0</v>
      </c>
      <c r="AB26" s="51">
        <f t="shared" si="20"/>
        <v>0</v>
      </c>
      <c r="AC26" s="61">
        <f>SUM(T26:AB26)</f>
        <v>0</v>
      </c>
      <c r="AD26" s="40"/>
      <c r="AE26" s="2"/>
      <c r="AH26" s="2"/>
    </row>
    <row r="27" spans="1:35" ht="15" thickBot="1" x14ac:dyDescent="0.45">
      <c r="A27" s="53"/>
      <c r="B27" s="54"/>
      <c r="C27" s="54"/>
      <c r="D27" s="54"/>
      <c r="E27" s="54"/>
      <c r="F27" s="54"/>
      <c r="G27" s="42" t="s">
        <v>91</v>
      </c>
      <c r="H27" s="42">
        <f>IF($A$26="Front",VLOOKUP($Q27,'[1]Handicap Chart'!$B$4:$K$40,2),VLOOKUP($Q27,'[1]Handicap Chart'!$B$4:$K$40,10))</f>
        <v>2</v>
      </c>
      <c r="I27" s="42">
        <f>IF($A$26="Front",VLOOKUP($Q27,'[1]Handicap Chart'!$B$4:$K$40,4),VLOOKUP($Q27,'[1]Handicap Chart'!$B$4:$K$40,3))</f>
        <v>2</v>
      </c>
      <c r="J27" s="42">
        <f>IF($A$26="Front",VLOOKUP($Q27,'[1]Handicap Chart'!$B$4:$K$40,8),VLOOKUP($Q27,'[1]Handicap Chart'!$B$4:$K$40,6))</f>
        <v>1</v>
      </c>
      <c r="K27" s="42">
        <f>IF($A$26="Front",VLOOKUP($Q27,'[1]Handicap Chart'!$B$4:$K$40,9),VLOOKUP($Q27,'[1]Handicap Chart'!$B$4:$K$40,5))</f>
        <v>1</v>
      </c>
      <c r="L27" s="42">
        <f>IF($A$26="Front",VLOOKUP($Q27,'[1]Handicap Chart'!$B$4:$K$40,5),VLOOKUP($Q27,'[1]Handicap Chart'!$B$4:$K$40,4))</f>
        <v>2</v>
      </c>
      <c r="M27" s="42">
        <f>IF($A$26="Front",VLOOKUP($Q27,'[1]Handicap Chart'!$B$4:$K$40,10),VLOOKUP($Q27,'[1]Handicap Chart'!$B$4:$K$40,9))</f>
        <v>1</v>
      </c>
      <c r="N27" s="42">
        <f>IF($A$26="Front",VLOOKUP($Q27,'[1]Handicap Chart'!$B$4:$K$40,3),VLOOKUP($Q27,'[1]Handicap Chart'!$B$4:$K$40,7))</f>
        <v>2</v>
      </c>
      <c r="O27" s="42">
        <f>IF($A$26="Front",VLOOKUP($Q27,'[1]Handicap Chart'!$B$4:$K$40,7),VLOOKUP($Q27,'[1]Handicap Chart'!$B$4:$K$40,8))</f>
        <v>1</v>
      </c>
      <c r="P27" s="42">
        <f>IF($A$26="Front",VLOOKUP($Q27,'[1]Handicap Chart'!$B$4:$K$40,6),VLOOKUP($Q27,'[1]Handicap Chart'!$B$4:$K$40,2))</f>
        <v>1</v>
      </c>
      <c r="Q27" s="55">
        <f>VLOOKUP($C26,[1]Summary!$A$4:$BL$39,47, FALSE)</f>
        <v>13</v>
      </c>
      <c r="S27" s="56" t="s">
        <v>92</v>
      </c>
      <c r="T27" s="57">
        <f t="shared" ref="T27:AB27" si="21">IF(OR(EXACT($E26,"Y"),(EXACT($F26,"Y"))),"-",IF(H28-T28&gt;1,-1,IF(H28-T28=0,1,IF(H28-T28=-1,3,IF(H28-T28=-2,4,IF(H28-T28=-3,5,0))))))</f>
        <v>0</v>
      </c>
      <c r="U27" s="57">
        <f t="shared" si="21"/>
        <v>0</v>
      </c>
      <c r="V27" s="57">
        <f t="shared" si="21"/>
        <v>0</v>
      </c>
      <c r="W27" s="57">
        <f t="shared" si="21"/>
        <v>0</v>
      </c>
      <c r="X27" s="57">
        <f t="shared" si="21"/>
        <v>0</v>
      </c>
      <c r="Y27" s="57">
        <f t="shared" si="21"/>
        <v>0</v>
      </c>
      <c r="Z27" s="57">
        <f t="shared" si="21"/>
        <v>0</v>
      </c>
      <c r="AA27" s="57">
        <f t="shared" si="21"/>
        <v>0</v>
      </c>
      <c r="AB27" s="57">
        <f t="shared" si="21"/>
        <v>0</v>
      </c>
      <c r="AC27" s="58">
        <f>IF(EXACT(E26,"Y"),6,IF(EXACT(F26,"Y"),2,SUM(T27:AB27)))</f>
        <v>0</v>
      </c>
      <c r="AD27" s="40"/>
      <c r="AE27" s="2"/>
      <c r="AH27" s="2"/>
    </row>
    <row r="28" spans="1:35" ht="15" thickBot="1" x14ac:dyDescent="0.45">
      <c r="A28" s="53"/>
      <c r="B28" s="54"/>
      <c r="C28" s="54"/>
      <c r="D28" s="54"/>
      <c r="E28" s="54"/>
      <c r="F28" s="54"/>
      <c r="G28" s="59" t="s">
        <v>93</v>
      </c>
      <c r="H28" s="60">
        <f t="shared" ref="H28:P28" si="22">IF(OR(EXACT($E26,"Y"),(EXACT($F26,"Y"))),"-",H26-H27)</f>
        <v>-2</v>
      </c>
      <c r="I28" s="60">
        <f t="shared" si="22"/>
        <v>-2</v>
      </c>
      <c r="J28" s="60">
        <f t="shared" si="22"/>
        <v>-1</v>
      </c>
      <c r="K28" s="60">
        <f t="shared" si="22"/>
        <v>-1</v>
      </c>
      <c r="L28" s="60">
        <f t="shared" si="22"/>
        <v>-2</v>
      </c>
      <c r="M28" s="60">
        <f t="shared" si="22"/>
        <v>-1</v>
      </c>
      <c r="N28" s="60">
        <f t="shared" si="22"/>
        <v>-2</v>
      </c>
      <c r="O28" s="60">
        <f t="shared" si="22"/>
        <v>-1</v>
      </c>
      <c r="P28" s="60">
        <f t="shared" si="22"/>
        <v>-1</v>
      </c>
      <c r="Q28" s="61">
        <f>SUM(H28:P28)</f>
        <v>-13</v>
      </c>
      <c r="S28" s="62" t="str">
        <f>$A$12</f>
        <v>Front</v>
      </c>
      <c r="T28" s="42">
        <f t="shared" ref="T28:AB28" si="23">IF($A$12="Front",T$1,T$2)</f>
        <v>4</v>
      </c>
      <c r="U28" s="42">
        <f t="shared" si="23"/>
        <v>3</v>
      </c>
      <c r="V28" s="42">
        <f t="shared" si="23"/>
        <v>4</v>
      </c>
      <c r="W28" s="42">
        <f t="shared" si="23"/>
        <v>5</v>
      </c>
      <c r="X28" s="42">
        <f t="shared" si="23"/>
        <v>4</v>
      </c>
      <c r="Y28" s="42">
        <f t="shared" si="23"/>
        <v>3</v>
      </c>
      <c r="Z28" s="42">
        <f t="shared" si="23"/>
        <v>4</v>
      </c>
      <c r="AA28" s="42">
        <f t="shared" si="23"/>
        <v>5</v>
      </c>
      <c r="AB28" s="42">
        <f t="shared" si="23"/>
        <v>4</v>
      </c>
      <c r="AC28" s="55">
        <f>SUM(T28:AB28)</f>
        <v>36</v>
      </c>
      <c r="AD28" s="40">
        <f>B23</f>
        <v>12</v>
      </c>
      <c r="AE28" s="80">
        <f>AC24+AC27</f>
        <v>5</v>
      </c>
      <c r="AF28" s="66">
        <f>IF(AC24&gt;=AC30,IF(AC24&gt;AC30,IF(AC27&gt;=AC33,IF(AC27&gt;AC33,4,3),2),IF(AC27&gt;=AC33,IF(AC27&gt;AC33,3,2),IF(AC27&gt;=AC33,IF(AC27&gt;AC33,2,1),1))),IF(AC27&gt;=AC33,IF(AC27&gt;AC33,2,1),0))</f>
        <v>2</v>
      </c>
      <c r="AG28" s="66">
        <f>IF(AE28&gt;AE34,4,IF(AE28=AE34,2,0))</f>
        <v>2</v>
      </c>
      <c r="AH28" s="67">
        <v>8</v>
      </c>
      <c r="AI28" s="67">
        <f>SUM(AF28:AH28)</f>
        <v>12</v>
      </c>
    </row>
    <row r="29" spans="1:35" x14ac:dyDescent="0.4">
      <c r="A29" s="63" t="s">
        <v>94</v>
      </c>
      <c r="B29" s="68">
        <v>6</v>
      </c>
      <c r="C29" s="69">
        <v>11</v>
      </c>
      <c r="D29" s="68" t="str">
        <f>VLOOKUP($C29,[1]Summary!$A$4:$BL$39,4, FALSE)</f>
        <v>Jake Deshaies</v>
      </c>
      <c r="E29" s="69"/>
      <c r="F29" s="69"/>
      <c r="G29" s="68" t="s">
        <v>89</v>
      </c>
      <c r="H29" s="69"/>
      <c r="I29" s="69"/>
      <c r="J29" s="69"/>
      <c r="K29" s="69"/>
      <c r="L29" s="69"/>
      <c r="M29" s="69"/>
      <c r="N29" s="69"/>
      <c r="O29" s="69"/>
      <c r="P29" s="69"/>
      <c r="Q29" s="70">
        <f>SUM(H29:P29)</f>
        <v>0</v>
      </c>
      <c r="S29" s="65" t="s">
        <v>90</v>
      </c>
      <c r="T29" s="51">
        <f t="shared" ref="T29:AB29" si="24">IF(H29&gt;=T31+H30+2,SUM(T31+H30+2),H29)</f>
        <v>0</v>
      </c>
      <c r="U29" s="51">
        <f t="shared" si="24"/>
        <v>0</v>
      </c>
      <c r="V29" s="51">
        <f t="shared" si="24"/>
        <v>0</v>
      </c>
      <c r="W29" s="51">
        <f t="shared" si="24"/>
        <v>0</v>
      </c>
      <c r="X29" s="51">
        <f t="shared" si="24"/>
        <v>0</v>
      </c>
      <c r="Y29" s="51">
        <f t="shared" si="24"/>
        <v>0</v>
      </c>
      <c r="Z29" s="51">
        <f t="shared" si="24"/>
        <v>0</v>
      </c>
      <c r="AA29" s="51">
        <f t="shared" si="24"/>
        <v>0</v>
      </c>
      <c r="AB29" s="51">
        <f t="shared" si="24"/>
        <v>0</v>
      </c>
      <c r="AC29" s="61">
        <f>SUM(T29:AB29)</f>
        <v>0</v>
      </c>
      <c r="AD29" s="40"/>
      <c r="AE29" s="2"/>
      <c r="AH29" s="2"/>
    </row>
    <row r="30" spans="1:35" x14ac:dyDescent="0.4">
      <c r="A30" s="53"/>
      <c r="B30" s="54"/>
      <c r="C30" s="54"/>
      <c r="D30" s="54"/>
      <c r="E30" s="54"/>
      <c r="F30" s="54"/>
      <c r="G30" s="42" t="s">
        <v>91</v>
      </c>
      <c r="H30" s="42">
        <f>IF($A$26="Front",VLOOKUP($Q30,'[1]Handicap Chart'!$B$4:$K$40,2),VLOOKUP($Q30,'[1]Handicap Chart'!$B$4:$K$40,10))</f>
        <v>1</v>
      </c>
      <c r="I30" s="42">
        <f>IF($A$26="Front",VLOOKUP($Q30,'[1]Handicap Chart'!$B$4:$K$40,4),VLOOKUP($Q30,'[1]Handicap Chart'!$B$4:$K$40,3))</f>
        <v>1</v>
      </c>
      <c r="J30" s="42">
        <f>IF($A$26="Front",VLOOKUP($Q30,'[1]Handicap Chart'!$B$4:$K$40,8),VLOOKUP($Q30,'[1]Handicap Chart'!$B$4:$K$40,6))</f>
        <v>0</v>
      </c>
      <c r="K30" s="42">
        <f>IF($A$26="Front",VLOOKUP($Q30,'[1]Handicap Chart'!$B$4:$K$40,9),VLOOKUP($Q30,'[1]Handicap Chart'!$B$4:$K$40,5))</f>
        <v>0</v>
      </c>
      <c r="L30" s="42">
        <f>IF($A$26="Front",VLOOKUP($Q30,'[1]Handicap Chart'!$B$4:$K$40,5),VLOOKUP($Q30,'[1]Handicap Chart'!$B$4:$K$40,4))</f>
        <v>0</v>
      </c>
      <c r="M30" s="42">
        <f>IF($A$26="Front",VLOOKUP($Q30,'[1]Handicap Chart'!$B$4:$K$40,10),VLOOKUP($Q30,'[1]Handicap Chart'!$B$4:$K$40,9))</f>
        <v>0</v>
      </c>
      <c r="N30" s="42">
        <f>IF($A$26="Front",VLOOKUP($Q30,'[1]Handicap Chart'!$B$4:$K$40,3),VLOOKUP($Q30,'[1]Handicap Chart'!$B$4:$K$40,7))</f>
        <v>1</v>
      </c>
      <c r="O30" s="42">
        <f>IF($A$26="Front",VLOOKUP($Q30,'[1]Handicap Chart'!$B$4:$K$40,7),VLOOKUP($Q30,'[1]Handicap Chart'!$B$4:$K$40,8))</f>
        <v>0</v>
      </c>
      <c r="P30" s="42">
        <f>IF($A$26="Front",VLOOKUP($Q30,'[1]Handicap Chart'!$B$4:$K$40,6),VLOOKUP($Q30,'[1]Handicap Chart'!$B$4:$K$40,2))</f>
        <v>0</v>
      </c>
      <c r="Q30" s="55">
        <f>VLOOKUP($C29,[1]Summary!$A$4:$BL$39,47, FALSE)</f>
        <v>3</v>
      </c>
      <c r="S30" s="71" t="s">
        <v>92</v>
      </c>
      <c r="T30" s="71">
        <f>IF(OR(EXACT($E29,"Y"),(EXACT($F29,"Y"))),"-",IF(H31-T31&gt;1,-1,IF(H31-T31=0,1,IF(H31-T31=-1,3,IF(H31-T31=-2,4,IF(H31-T31=-3,5,0))))))</f>
        <v>0</v>
      </c>
      <c r="U30" s="71">
        <f t="shared" ref="U30:AB30" si="25">IF(OR(EXACT($E29,"Y"),(EXACT($F29,"Y"))),"-",IF(I31-U31&gt;1,-1,IF(I31-U31=0,1,IF(I31-U31=-1,3,IF(I31-U31=-2,4,IF(I31-U31=-3,5,0))))))</f>
        <v>0</v>
      </c>
      <c r="V30" s="71">
        <f t="shared" si="25"/>
        <v>0</v>
      </c>
      <c r="W30" s="71">
        <f t="shared" si="25"/>
        <v>0</v>
      </c>
      <c r="X30" s="71">
        <f t="shared" si="25"/>
        <v>0</v>
      </c>
      <c r="Y30" s="71">
        <f t="shared" si="25"/>
        <v>5</v>
      </c>
      <c r="Z30" s="71">
        <f t="shared" si="25"/>
        <v>0</v>
      </c>
      <c r="AA30" s="71">
        <f t="shared" si="25"/>
        <v>0</v>
      </c>
      <c r="AB30" s="71">
        <f t="shared" si="25"/>
        <v>0</v>
      </c>
      <c r="AC30" s="70">
        <f>IF(EXACT(E29,"Y"),6,IF(EXACT(F29,"Y"),2,SUM(T30:AB30)))</f>
        <v>5</v>
      </c>
      <c r="AD30" s="40"/>
      <c r="AE30" s="2"/>
      <c r="AH30" s="2"/>
    </row>
    <row r="31" spans="1:35" x14ac:dyDescent="0.4">
      <c r="A31" s="53"/>
      <c r="B31" s="54"/>
      <c r="C31" s="54"/>
      <c r="D31" s="54"/>
      <c r="E31" s="54"/>
      <c r="F31" s="54"/>
      <c r="G31" s="59" t="s">
        <v>93</v>
      </c>
      <c r="H31" s="60">
        <f t="shared" ref="H31:P31" si="26">IF(OR(EXACT($E29,"Y"),(EXACT($F29,"Y"))),"-",H29-H30)</f>
        <v>-1</v>
      </c>
      <c r="I31" s="60">
        <f t="shared" si="26"/>
        <v>-1</v>
      </c>
      <c r="J31" s="60">
        <f t="shared" si="26"/>
        <v>0</v>
      </c>
      <c r="K31" s="60">
        <f t="shared" si="26"/>
        <v>0</v>
      </c>
      <c r="L31" s="60">
        <f t="shared" si="26"/>
        <v>0</v>
      </c>
      <c r="M31" s="60">
        <f t="shared" si="26"/>
        <v>0</v>
      </c>
      <c r="N31" s="60">
        <f t="shared" si="26"/>
        <v>-1</v>
      </c>
      <c r="O31" s="60">
        <f t="shared" si="26"/>
        <v>0</v>
      </c>
      <c r="P31" s="60">
        <f t="shared" si="26"/>
        <v>0</v>
      </c>
      <c r="Q31" s="61">
        <f>SUM(H31:P31)</f>
        <v>-3</v>
      </c>
      <c r="S31" s="62" t="str">
        <f>$A$12</f>
        <v>Front</v>
      </c>
      <c r="T31" s="42">
        <f t="shared" ref="T31:AB31" si="27">IF($A$12="Front",T$1,T$2)</f>
        <v>4</v>
      </c>
      <c r="U31" s="42">
        <f t="shared" si="27"/>
        <v>3</v>
      </c>
      <c r="V31" s="42">
        <f t="shared" si="27"/>
        <v>4</v>
      </c>
      <c r="W31" s="42">
        <f t="shared" si="27"/>
        <v>5</v>
      </c>
      <c r="X31" s="42">
        <f t="shared" si="27"/>
        <v>4</v>
      </c>
      <c r="Y31" s="42">
        <f t="shared" si="27"/>
        <v>3</v>
      </c>
      <c r="Z31" s="42">
        <f t="shared" si="27"/>
        <v>4</v>
      </c>
      <c r="AA31" s="42">
        <f t="shared" si="27"/>
        <v>5</v>
      </c>
      <c r="AB31" s="42">
        <f t="shared" si="27"/>
        <v>4</v>
      </c>
      <c r="AC31" s="55">
        <f>SUM(T31:AB31)</f>
        <v>36</v>
      </c>
      <c r="AD31" s="40"/>
      <c r="AE31" s="2"/>
      <c r="AH31" s="2"/>
    </row>
    <row r="32" spans="1:35" x14ac:dyDescent="0.4">
      <c r="A32" s="63" t="s">
        <v>96</v>
      </c>
      <c r="B32" s="68">
        <v>6</v>
      </c>
      <c r="C32" s="69">
        <v>12</v>
      </c>
      <c r="D32" s="68" t="str">
        <f>VLOOKUP($C32,[1]Summary!$A$4:$BL$39,4, FALSE)</f>
        <v>Scott Glascott</v>
      </c>
      <c r="E32" s="69"/>
      <c r="F32" s="69"/>
      <c r="G32" s="68" t="s">
        <v>89</v>
      </c>
      <c r="H32" s="69"/>
      <c r="I32" s="69"/>
      <c r="J32" s="69"/>
      <c r="K32" s="69"/>
      <c r="L32" s="69"/>
      <c r="M32" s="69"/>
      <c r="N32" s="69"/>
      <c r="O32" s="69"/>
      <c r="P32" s="69"/>
      <c r="Q32" s="70">
        <f>SUM(H32:P32)</f>
        <v>0</v>
      </c>
      <c r="S32" s="65" t="s">
        <v>90</v>
      </c>
      <c r="T32" s="51">
        <f t="shared" ref="T32:AB32" si="28">IF(H32&gt;=T34+H33+2,SUM(T34+H33+2),H32)</f>
        <v>0</v>
      </c>
      <c r="U32" s="51">
        <f t="shared" si="28"/>
        <v>0</v>
      </c>
      <c r="V32" s="51">
        <f t="shared" si="28"/>
        <v>0</v>
      </c>
      <c r="W32" s="51">
        <f t="shared" si="28"/>
        <v>0</v>
      </c>
      <c r="X32" s="51">
        <f t="shared" si="28"/>
        <v>0</v>
      </c>
      <c r="Y32" s="51">
        <f t="shared" si="28"/>
        <v>0</v>
      </c>
      <c r="Z32" s="51">
        <f t="shared" si="28"/>
        <v>0</v>
      </c>
      <c r="AA32" s="51">
        <f t="shared" si="28"/>
        <v>0</v>
      </c>
      <c r="AB32" s="51">
        <f t="shared" si="28"/>
        <v>0</v>
      </c>
      <c r="AC32" s="61">
        <f>SUM(T32:AB32)</f>
        <v>0</v>
      </c>
      <c r="AD32" s="40"/>
      <c r="AE32" s="2"/>
      <c r="AH32" s="2"/>
    </row>
    <row r="33" spans="1:35" ht="15" thickBot="1" x14ac:dyDescent="0.45">
      <c r="A33" s="53"/>
      <c r="B33" s="54"/>
      <c r="C33" s="54"/>
      <c r="D33" s="54"/>
      <c r="E33" s="54"/>
      <c r="F33" s="54"/>
      <c r="G33" s="42" t="s">
        <v>91</v>
      </c>
      <c r="H33" s="42">
        <f>IF($A$26="Front",VLOOKUP($Q33,'[1]Handicap Chart'!$B$4:$K$40,2),VLOOKUP($Q33,'[1]Handicap Chart'!$B$4:$K$40,10))</f>
        <v>2</v>
      </c>
      <c r="I33" s="42">
        <f>IF($A$26="Front",VLOOKUP($Q33,'[1]Handicap Chart'!$B$4:$K$40,4),VLOOKUP($Q33,'[1]Handicap Chart'!$B$4:$K$40,3))</f>
        <v>2</v>
      </c>
      <c r="J33" s="42">
        <f>IF($A$26="Front",VLOOKUP($Q33,'[1]Handicap Chart'!$B$4:$K$40,8),VLOOKUP($Q33,'[1]Handicap Chart'!$B$4:$K$40,6))</f>
        <v>1</v>
      </c>
      <c r="K33" s="42">
        <f>IF($A$26="Front",VLOOKUP($Q33,'[1]Handicap Chart'!$B$4:$K$40,9),VLOOKUP($Q33,'[1]Handicap Chart'!$B$4:$K$40,5))</f>
        <v>1</v>
      </c>
      <c r="L33" s="42">
        <f>IF($A$26="Front",VLOOKUP($Q33,'[1]Handicap Chart'!$B$4:$K$40,5),VLOOKUP($Q33,'[1]Handicap Chart'!$B$4:$K$40,4))</f>
        <v>2</v>
      </c>
      <c r="M33" s="42">
        <f>IF($A$26="Front",VLOOKUP($Q33,'[1]Handicap Chart'!$B$4:$K$40,10),VLOOKUP($Q33,'[1]Handicap Chart'!$B$4:$K$40,9))</f>
        <v>1</v>
      </c>
      <c r="N33" s="42">
        <f>IF($A$26="Front",VLOOKUP($Q33,'[1]Handicap Chart'!$B$4:$K$40,3),VLOOKUP($Q33,'[1]Handicap Chart'!$B$4:$K$40,7))</f>
        <v>2</v>
      </c>
      <c r="O33" s="42">
        <f>IF($A$26="Front",VLOOKUP($Q33,'[1]Handicap Chart'!$B$4:$K$40,7),VLOOKUP($Q33,'[1]Handicap Chart'!$B$4:$K$40,8))</f>
        <v>1</v>
      </c>
      <c r="P33" s="42">
        <f>IF($A$26="Front",VLOOKUP($Q33,'[1]Handicap Chart'!$B$4:$K$40,6),VLOOKUP($Q33,'[1]Handicap Chart'!$B$4:$K$40,2))</f>
        <v>2</v>
      </c>
      <c r="Q33" s="55">
        <f>VLOOKUP($C32,[1]Summary!$A$4:$BL$39,47, FALSE)</f>
        <v>14</v>
      </c>
      <c r="S33" s="71" t="s">
        <v>92</v>
      </c>
      <c r="T33" s="71">
        <f>IF(OR(EXACT($E32,"Y"),(EXACT($F32,"Y"))),"-",IF(H34-T34&gt;1,-1,IF(H34-T34=0,1,IF(H34-T34=-1,3,IF(H34-T34=-2,4,IF(H34-T34=-3,5,0))))))</f>
        <v>0</v>
      </c>
      <c r="U33" s="71">
        <f t="shared" ref="U33:AB33" si="29">IF(OR(EXACT($E32,"Y"),(EXACT($F32,"Y"))),"-",IF(I34-U34&gt;1,-1,IF(I34-U34=0,1,IF(I34-U34=-1,3,IF(I34-U34=-2,4,IF(I34-U34=-3,5,0))))))</f>
        <v>0</v>
      </c>
      <c r="V33" s="71">
        <f t="shared" si="29"/>
        <v>0</v>
      </c>
      <c r="W33" s="71">
        <f t="shared" si="29"/>
        <v>0</v>
      </c>
      <c r="X33" s="71">
        <f t="shared" si="29"/>
        <v>0</v>
      </c>
      <c r="Y33" s="71">
        <f t="shared" si="29"/>
        <v>0</v>
      </c>
      <c r="Z33" s="71">
        <f t="shared" si="29"/>
        <v>0</v>
      </c>
      <c r="AA33" s="71">
        <f t="shared" si="29"/>
        <v>0</v>
      </c>
      <c r="AB33" s="71">
        <f t="shared" si="29"/>
        <v>0</v>
      </c>
      <c r="AC33" s="70">
        <f>IF(EXACT(E32,"Y"),6,IF(EXACT(F32,"Y"),2,SUM(T33:AB33)))</f>
        <v>0</v>
      </c>
      <c r="AD33" s="40"/>
      <c r="AE33" s="2"/>
      <c r="AH33" s="2"/>
    </row>
    <row r="34" spans="1:35" ht="15" thickBot="1" x14ac:dyDescent="0.45">
      <c r="A34" s="72"/>
      <c r="B34" s="73"/>
      <c r="C34" s="73"/>
      <c r="D34" s="73"/>
      <c r="E34" s="73"/>
      <c r="F34" s="73"/>
      <c r="G34" s="74" t="s">
        <v>93</v>
      </c>
      <c r="H34" s="60">
        <f t="shared" ref="H34:P34" si="30">IF(OR(EXACT($E32,"Y"),(EXACT($F32,"Y"))),"-",H32-H33)</f>
        <v>-2</v>
      </c>
      <c r="I34" s="60">
        <f t="shared" si="30"/>
        <v>-2</v>
      </c>
      <c r="J34" s="60">
        <f t="shared" si="30"/>
        <v>-1</v>
      </c>
      <c r="K34" s="60">
        <f t="shared" si="30"/>
        <v>-1</v>
      </c>
      <c r="L34" s="60">
        <f t="shared" si="30"/>
        <v>-2</v>
      </c>
      <c r="M34" s="60">
        <f t="shared" si="30"/>
        <v>-1</v>
      </c>
      <c r="N34" s="60">
        <f t="shared" si="30"/>
        <v>-2</v>
      </c>
      <c r="O34" s="60">
        <f t="shared" si="30"/>
        <v>-1</v>
      </c>
      <c r="P34" s="60">
        <f t="shared" si="30"/>
        <v>-2</v>
      </c>
      <c r="Q34" s="75">
        <f>SUM(H34:P34)</f>
        <v>-14</v>
      </c>
      <c r="S34" s="27" t="str">
        <f>$A$12</f>
        <v>Front</v>
      </c>
      <c r="T34" s="76">
        <f t="shared" ref="T34:AB34" si="31">IF($A$12="Front",T$1,T$2)</f>
        <v>4</v>
      </c>
      <c r="U34" s="76">
        <f t="shared" si="31"/>
        <v>3</v>
      </c>
      <c r="V34" s="76">
        <f t="shared" si="31"/>
        <v>4</v>
      </c>
      <c r="W34" s="76">
        <f t="shared" si="31"/>
        <v>5</v>
      </c>
      <c r="X34" s="76">
        <f t="shared" si="31"/>
        <v>4</v>
      </c>
      <c r="Y34" s="76">
        <f t="shared" si="31"/>
        <v>3</v>
      </c>
      <c r="Z34" s="76">
        <f t="shared" si="31"/>
        <v>4</v>
      </c>
      <c r="AA34" s="76">
        <f t="shared" si="31"/>
        <v>5</v>
      </c>
      <c r="AB34" s="76">
        <f t="shared" si="31"/>
        <v>4</v>
      </c>
      <c r="AC34" s="77">
        <f>SUM(T34:AB34)</f>
        <v>36</v>
      </c>
      <c r="AD34" s="40">
        <f>B29</f>
        <v>6</v>
      </c>
      <c r="AE34" s="78">
        <f>AC30+AC33</f>
        <v>5</v>
      </c>
      <c r="AF34" s="78">
        <f>IF(AC30&gt;=AC24,IF(AC30&gt;AC24,IF(AC33&gt;=AC27,IF(AC33&gt;AC27,4,3),2),IF(AC33&gt;=AC27,IF(AC33&gt;AC27,3,2),IF(AC33&gt;=AC27,IF(AC33&gt;AC27,2,1),1))),IF(AC33&gt;=AC27,IF(AC33&gt;AC27,2,1),0))</f>
        <v>2</v>
      </c>
      <c r="AG34" s="78">
        <f>IF(AE34&gt;AE28,4,IF(AE34=AE28,2,0))</f>
        <v>2</v>
      </c>
      <c r="AH34" s="79">
        <v>6</v>
      </c>
      <c r="AI34" s="79">
        <f>SUM(AF34:AH34)</f>
        <v>10</v>
      </c>
    </row>
    <row r="35" spans="1:35" ht="15" thickBo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40"/>
      <c r="AE35" s="2"/>
      <c r="AH35" s="2"/>
    </row>
    <row r="36" spans="1:35" ht="15" thickBot="1" x14ac:dyDescent="0.45">
      <c r="A36" s="42" t="s">
        <v>82</v>
      </c>
      <c r="B36" s="42" t="s">
        <v>0</v>
      </c>
      <c r="C36" s="42" t="s">
        <v>6</v>
      </c>
      <c r="D36" s="42" t="s">
        <v>84</v>
      </c>
      <c r="E36" s="42" t="s">
        <v>85</v>
      </c>
      <c r="F36" s="42" t="s">
        <v>86</v>
      </c>
      <c r="G36" s="42"/>
      <c r="H36" s="42">
        <v>1</v>
      </c>
      <c r="I36" s="42">
        <v>2</v>
      </c>
      <c r="J36" s="42">
        <v>3</v>
      </c>
      <c r="K36" s="42">
        <v>4</v>
      </c>
      <c r="L36" s="42">
        <v>5</v>
      </c>
      <c r="M36" s="42">
        <v>6</v>
      </c>
      <c r="N36" s="42">
        <v>7</v>
      </c>
      <c r="O36" s="42">
        <v>8</v>
      </c>
      <c r="P36" s="42">
        <v>9</v>
      </c>
      <c r="Q36" s="42" t="s">
        <v>87</v>
      </c>
      <c r="S36" s="43" t="s">
        <v>88</v>
      </c>
      <c r="T36" s="44">
        <v>1</v>
      </c>
      <c r="U36" s="44">
        <v>2</v>
      </c>
      <c r="V36" s="44">
        <v>3</v>
      </c>
      <c r="W36" s="44">
        <v>4</v>
      </c>
      <c r="X36" s="44">
        <v>5</v>
      </c>
      <c r="Y36" s="44">
        <v>6</v>
      </c>
      <c r="Z36" s="44">
        <v>7</v>
      </c>
      <c r="AA36" s="44">
        <v>8</v>
      </c>
      <c r="AB36" s="44">
        <v>9</v>
      </c>
      <c r="AC36" s="45" t="s">
        <v>4</v>
      </c>
      <c r="AD36" s="40"/>
      <c r="AE36" s="2"/>
      <c r="AH36" s="2"/>
    </row>
    <row r="37" spans="1:35" x14ac:dyDescent="0.4">
      <c r="A37" s="46">
        <v>3</v>
      </c>
      <c r="B37" s="47">
        <v>7</v>
      </c>
      <c r="C37" s="48">
        <v>13</v>
      </c>
      <c r="D37" s="47" t="str">
        <f>VLOOKUP($C37,[1]Summary!$A$4:$D$39,4, FALSE)</f>
        <v>John Harvey</v>
      </c>
      <c r="E37" s="48"/>
      <c r="F37" s="48"/>
      <c r="G37" s="47" t="s">
        <v>89</v>
      </c>
      <c r="H37" s="48"/>
      <c r="I37" s="48"/>
      <c r="J37" s="48"/>
      <c r="K37" s="48"/>
      <c r="L37" s="48"/>
      <c r="M37" s="48"/>
      <c r="N37" s="48"/>
      <c r="O37" s="48"/>
      <c r="P37" s="48"/>
      <c r="Q37" s="49">
        <f>SUM(H37:P37)</f>
        <v>0</v>
      </c>
      <c r="S37" s="50" t="s">
        <v>90</v>
      </c>
      <c r="T37" s="51">
        <f t="shared" ref="T37:AB37" si="32">IF(H37&gt;=T39+H38+2,SUM(T39+H38+2),H37)</f>
        <v>0</v>
      </c>
      <c r="U37" s="51">
        <f t="shared" si="32"/>
        <v>0</v>
      </c>
      <c r="V37" s="51">
        <f t="shared" si="32"/>
        <v>0</v>
      </c>
      <c r="W37" s="51">
        <f t="shared" si="32"/>
        <v>0</v>
      </c>
      <c r="X37" s="51">
        <f t="shared" si="32"/>
        <v>0</v>
      </c>
      <c r="Y37" s="51">
        <f t="shared" si="32"/>
        <v>0</v>
      </c>
      <c r="Z37" s="51">
        <f t="shared" si="32"/>
        <v>0</v>
      </c>
      <c r="AA37" s="51">
        <f t="shared" si="32"/>
        <v>0</v>
      </c>
      <c r="AB37" s="51">
        <f t="shared" si="32"/>
        <v>0</v>
      </c>
      <c r="AC37" s="52">
        <f>SUM(T37:AB37)</f>
        <v>0</v>
      </c>
      <c r="AD37" s="40"/>
      <c r="AE37" s="2"/>
      <c r="AH37" s="2"/>
    </row>
    <row r="38" spans="1:35" x14ac:dyDescent="0.4">
      <c r="A38" s="53"/>
      <c r="B38" s="54"/>
      <c r="C38" s="54"/>
      <c r="D38" s="54"/>
      <c r="E38" s="54"/>
      <c r="F38" s="54"/>
      <c r="G38" s="42" t="s">
        <v>91</v>
      </c>
      <c r="H38" s="42">
        <f>IF($A$40="Front",VLOOKUP($Q38,'[1]Handicap Chart'!$B$4:$K$40,2),VLOOKUP($Q38,'[1]Handicap Chart'!$B$4:$K$40,10))</f>
        <v>2</v>
      </c>
      <c r="I38" s="42">
        <f>IF($A$40="Front",VLOOKUP($Q38,'[1]Handicap Chart'!$B$4:$K$40,4),VLOOKUP($Q38,'[1]Handicap Chart'!$B$4:$K$40,3))</f>
        <v>1</v>
      </c>
      <c r="J38" s="42">
        <f>IF($A$40="Front",VLOOKUP($Q38,'[1]Handicap Chart'!$B$4:$K$40,8),VLOOKUP($Q38,'[1]Handicap Chart'!$B$4:$K$40,6))</f>
        <v>1</v>
      </c>
      <c r="K38" s="42">
        <f>IF($A$40="Front",VLOOKUP($Q38,'[1]Handicap Chart'!$B$4:$K$40,9),VLOOKUP($Q38,'[1]Handicap Chart'!$B$4:$K$40,5))</f>
        <v>1</v>
      </c>
      <c r="L38" s="42">
        <f>IF($A$40="Front",VLOOKUP($Q38,'[1]Handicap Chart'!$B$4:$K$40,5),VLOOKUP($Q38,'[1]Handicap Chart'!$B$4:$K$40,4))</f>
        <v>1</v>
      </c>
      <c r="M38" s="42">
        <f>IF($A$40="Front",VLOOKUP($Q38,'[1]Handicap Chart'!$B$4:$K$40,10),VLOOKUP($Q38,'[1]Handicap Chart'!$B$4:$K$40,9))</f>
        <v>1</v>
      </c>
      <c r="N38" s="42">
        <f>IF($A$40="Front",VLOOKUP($Q38,'[1]Handicap Chart'!$B$4:$K$40,3),VLOOKUP($Q38,'[1]Handicap Chart'!$B$4:$K$40,7))</f>
        <v>2</v>
      </c>
      <c r="O38" s="42">
        <f>IF($A$40="Front",VLOOKUP($Q38,'[1]Handicap Chart'!$B$4:$K$40,7),VLOOKUP($Q38,'[1]Handicap Chart'!$B$4:$K$40,8))</f>
        <v>1</v>
      </c>
      <c r="P38" s="42">
        <f>IF($A$40="Front",VLOOKUP($Q38,'[1]Handicap Chart'!$B$4:$K$40,6),VLOOKUP($Q38,'[1]Handicap Chart'!$B$4:$K$40,2))</f>
        <v>1</v>
      </c>
      <c r="Q38" s="55">
        <f>VLOOKUP($C37,[1]Summary!$A$4:$BL$39,47, FALSE)</f>
        <v>11</v>
      </c>
      <c r="S38" s="56" t="s">
        <v>92</v>
      </c>
      <c r="T38" s="57">
        <f t="shared" ref="T38:AB38" si="33">IF(OR(EXACT($E37,"Y"),(EXACT($F37,"Y"))),"-",IF(H39-T39&gt;1,-1,IF(H39-T39=0,1,IF(H39-T39=-1,3,IF(H39-T39=-2,4,IF(H39-T39=-3,5,0))))))</f>
        <v>0</v>
      </c>
      <c r="U38" s="57">
        <f t="shared" si="33"/>
        <v>0</v>
      </c>
      <c r="V38" s="57">
        <f t="shared" si="33"/>
        <v>0</v>
      </c>
      <c r="W38" s="57">
        <f t="shared" si="33"/>
        <v>0</v>
      </c>
      <c r="X38" s="57">
        <f t="shared" si="33"/>
        <v>0</v>
      </c>
      <c r="Y38" s="57">
        <f t="shared" si="33"/>
        <v>0</v>
      </c>
      <c r="Z38" s="57">
        <f t="shared" si="33"/>
        <v>0</v>
      </c>
      <c r="AA38" s="57">
        <f t="shared" si="33"/>
        <v>0</v>
      </c>
      <c r="AB38" s="57">
        <f t="shared" si="33"/>
        <v>0</v>
      </c>
      <c r="AC38" s="58">
        <f>IF(EXACT(E37,"Y"),6,IF(EXACT(F37,"Y"),2,SUM(T38:AB38)))</f>
        <v>0</v>
      </c>
      <c r="AD38" s="40"/>
      <c r="AE38" s="2"/>
      <c r="AH38" s="2"/>
    </row>
    <row r="39" spans="1:35" ht="15" thickBot="1" x14ac:dyDescent="0.45">
      <c r="A39" s="53"/>
      <c r="B39" s="54"/>
      <c r="C39" s="54"/>
      <c r="D39" s="54"/>
      <c r="E39" s="54"/>
      <c r="F39" s="54"/>
      <c r="G39" s="59" t="s">
        <v>93</v>
      </c>
      <c r="H39" s="60">
        <f t="shared" ref="H39:P39" si="34">IF(OR(EXACT($E37,"Y"),(EXACT($F37,"Y"))),"-",H37-H38)</f>
        <v>-2</v>
      </c>
      <c r="I39" s="60">
        <f t="shared" si="34"/>
        <v>-1</v>
      </c>
      <c r="J39" s="60">
        <f t="shared" si="34"/>
        <v>-1</v>
      </c>
      <c r="K39" s="60">
        <f t="shared" si="34"/>
        <v>-1</v>
      </c>
      <c r="L39" s="60">
        <f t="shared" si="34"/>
        <v>-1</v>
      </c>
      <c r="M39" s="60">
        <f t="shared" si="34"/>
        <v>-1</v>
      </c>
      <c r="N39" s="60">
        <f t="shared" si="34"/>
        <v>-2</v>
      </c>
      <c r="O39" s="60">
        <f t="shared" si="34"/>
        <v>-1</v>
      </c>
      <c r="P39" s="60">
        <f t="shared" si="34"/>
        <v>-1</v>
      </c>
      <c r="Q39" s="61">
        <f>SUM(H39:P39)</f>
        <v>-11</v>
      </c>
      <c r="S39" s="62" t="str">
        <f>$A$12</f>
        <v>Front</v>
      </c>
      <c r="T39" s="42">
        <f t="shared" ref="T39:AB39" si="35">IF($A$12="Front",T$1,T$2)</f>
        <v>4</v>
      </c>
      <c r="U39" s="42">
        <f t="shared" si="35"/>
        <v>3</v>
      </c>
      <c r="V39" s="42">
        <f t="shared" si="35"/>
        <v>4</v>
      </c>
      <c r="W39" s="42">
        <f t="shared" si="35"/>
        <v>5</v>
      </c>
      <c r="X39" s="42">
        <f t="shared" si="35"/>
        <v>4</v>
      </c>
      <c r="Y39" s="42">
        <f t="shared" si="35"/>
        <v>3</v>
      </c>
      <c r="Z39" s="42">
        <f t="shared" si="35"/>
        <v>4</v>
      </c>
      <c r="AA39" s="42">
        <f t="shared" si="35"/>
        <v>5</v>
      </c>
      <c r="AB39" s="42">
        <f t="shared" si="35"/>
        <v>4</v>
      </c>
      <c r="AC39" s="55">
        <f>SUM(T39:AB39)</f>
        <v>36</v>
      </c>
      <c r="AD39" s="40"/>
      <c r="AE39" s="2"/>
      <c r="AH39" s="2"/>
    </row>
    <row r="40" spans="1:35" x14ac:dyDescent="0.4">
      <c r="A40" s="63" t="s">
        <v>74</v>
      </c>
      <c r="B40" s="57">
        <v>7</v>
      </c>
      <c r="C40" s="64">
        <v>14</v>
      </c>
      <c r="D40" s="47" t="str">
        <f>VLOOKUP($C40,[1]Summary!$A$4:$D$39,4, FALSE)</f>
        <v>Jeff Rowles</v>
      </c>
      <c r="E40" s="64"/>
      <c r="F40" s="64"/>
      <c r="G40" s="57" t="s">
        <v>89</v>
      </c>
      <c r="H40" s="64"/>
      <c r="I40" s="64"/>
      <c r="J40" s="64"/>
      <c r="K40" s="64"/>
      <c r="L40" s="64"/>
      <c r="M40" s="64"/>
      <c r="N40" s="64"/>
      <c r="O40" s="64"/>
      <c r="P40" s="64"/>
      <c r="Q40" s="49">
        <f>SUM(H40:P40)</f>
        <v>0</v>
      </c>
      <c r="S40" s="65" t="s">
        <v>90</v>
      </c>
      <c r="T40" s="51">
        <f>IF(H40&gt;=T42+H41+2,SUM(T42+H41+2),H40)</f>
        <v>0</v>
      </c>
      <c r="U40" s="51">
        <f t="shared" ref="U40:AB40" si="36">IF(I40&gt;=U42+I41+2,SUM(U42+I41+2),I40)</f>
        <v>0</v>
      </c>
      <c r="V40" s="51">
        <f t="shared" si="36"/>
        <v>0</v>
      </c>
      <c r="W40" s="51">
        <f t="shared" si="36"/>
        <v>0</v>
      </c>
      <c r="X40" s="51">
        <f t="shared" si="36"/>
        <v>0</v>
      </c>
      <c r="Y40" s="51">
        <f t="shared" si="36"/>
        <v>0</v>
      </c>
      <c r="Z40" s="51">
        <f t="shared" si="36"/>
        <v>0</v>
      </c>
      <c r="AA40" s="51">
        <f t="shared" si="36"/>
        <v>0</v>
      </c>
      <c r="AB40" s="51">
        <f t="shared" si="36"/>
        <v>0</v>
      </c>
      <c r="AC40" s="61">
        <f>SUM(T40:AB40)</f>
        <v>0</v>
      </c>
      <c r="AD40" s="40"/>
      <c r="AE40" s="2"/>
      <c r="AH40" s="2"/>
    </row>
    <row r="41" spans="1:35" ht="15" thickBot="1" x14ac:dyDescent="0.45">
      <c r="A41" s="53"/>
      <c r="B41" s="54"/>
      <c r="C41" s="54"/>
      <c r="D41" s="54"/>
      <c r="E41" s="54"/>
      <c r="F41" s="54"/>
      <c r="G41" s="42" t="s">
        <v>91</v>
      </c>
      <c r="H41" s="42">
        <f>IF($A$40="Front",VLOOKUP($Q41,'[1]Handicap Chart'!$B$4:$K$40,2),VLOOKUP($Q41,'[1]Handicap Chart'!$B$4:$K$40,10))</f>
        <v>2</v>
      </c>
      <c r="I41" s="42">
        <f>IF($A$40="Front",VLOOKUP($Q41,'[1]Handicap Chart'!$B$4:$K$40,4),VLOOKUP($Q41,'[1]Handicap Chart'!$B$4:$K$40,3))</f>
        <v>1</v>
      </c>
      <c r="J41" s="42">
        <f>IF($A$40="Front",VLOOKUP($Q41,'[1]Handicap Chart'!$B$4:$K$40,8),VLOOKUP($Q41,'[1]Handicap Chart'!$B$4:$K$40,6))</f>
        <v>1</v>
      </c>
      <c r="K41" s="42">
        <f>IF($A$40="Front",VLOOKUP($Q41,'[1]Handicap Chart'!$B$4:$K$40,9),VLOOKUP($Q41,'[1]Handicap Chart'!$B$4:$K$40,5))</f>
        <v>1</v>
      </c>
      <c r="L41" s="42">
        <f>IF($A$40="Front",VLOOKUP($Q41,'[1]Handicap Chart'!$B$4:$K$40,5),VLOOKUP($Q41,'[1]Handicap Chart'!$B$4:$K$40,4))</f>
        <v>1</v>
      </c>
      <c r="M41" s="42">
        <f>IF($A$40="Front",VLOOKUP($Q41,'[1]Handicap Chart'!$B$4:$K$40,10),VLOOKUP($Q41,'[1]Handicap Chart'!$B$4:$K$40,9))</f>
        <v>1</v>
      </c>
      <c r="N41" s="42">
        <f>IF($A$40="Front",VLOOKUP($Q41,'[1]Handicap Chart'!$B$4:$K$40,3),VLOOKUP($Q41,'[1]Handicap Chart'!$B$4:$K$40,7))</f>
        <v>2</v>
      </c>
      <c r="O41" s="42">
        <f>IF($A$40="Front",VLOOKUP($Q41,'[1]Handicap Chart'!$B$4:$K$40,7),VLOOKUP($Q41,'[1]Handicap Chart'!$B$4:$K$40,8))</f>
        <v>1</v>
      </c>
      <c r="P41" s="42">
        <f>IF($A$40="Front",VLOOKUP($Q41,'[1]Handicap Chart'!$B$4:$K$40,6),VLOOKUP($Q41,'[1]Handicap Chart'!$B$4:$K$40,2))</f>
        <v>1</v>
      </c>
      <c r="Q41" s="55">
        <f>VLOOKUP($C40,[1]Summary!$A$4:$BL$39,47, FALSE)</f>
        <v>11</v>
      </c>
      <c r="S41" s="56" t="s">
        <v>92</v>
      </c>
      <c r="T41" s="57">
        <f t="shared" ref="T41:AB41" si="37">IF(OR(EXACT($E40,"Y"),(EXACT($F40,"Y"))),"-",IF(H42-T42&gt;1,-1,IF(H42-T42=0,1,IF(H42-T42=-1,3,IF(H42-T42=-2,4,IF(H42-T42=-3,5,0))))))</f>
        <v>0</v>
      </c>
      <c r="U41" s="57">
        <f t="shared" si="37"/>
        <v>0</v>
      </c>
      <c r="V41" s="57">
        <f t="shared" si="37"/>
        <v>0</v>
      </c>
      <c r="W41" s="57">
        <f t="shared" si="37"/>
        <v>0</v>
      </c>
      <c r="X41" s="57">
        <f t="shared" si="37"/>
        <v>0</v>
      </c>
      <c r="Y41" s="57">
        <f t="shared" si="37"/>
        <v>0</v>
      </c>
      <c r="Z41" s="57">
        <f t="shared" si="37"/>
        <v>0</v>
      </c>
      <c r="AA41" s="57">
        <f t="shared" si="37"/>
        <v>0</v>
      </c>
      <c r="AB41" s="57">
        <f t="shared" si="37"/>
        <v>0</v>
      </c>
      <c r="AC41" s="58">
        <f>IF(EXACT(E40,"Y"),6,IF(EXACT(F40,"Y"),2,SUM(T41:AB41)))</f>
        <v>0</v>
      </c>
      <c r="AD41" s="40"/>
      <c r="AE41" s="2"/>
      <c r="AH41" s="2"/>
    </row>
    <row r="42" spans="1:35" ht="15" thickBot="1" x14ac:dyDescent="0.45">
      <c r="A42" s="53"/>
      <c r="B42" s="54"/>
      <c r="C42" s="54"/>
      <c r="D42" s="54"/>
      <c r="E42" s="54"/>
      <c r="F42" s="54"/>
      <c r="G42" s="59" t="s">
        <v>93</v>
      </c>
      <c r="H42" s="60">
        <f t="shared" ref="H42:P42" si="38">IF(OR(EXACT($E40,"Y"),(EXACT($F40,"Y"))),"-",H40-H41)</f>
        <v>-2</v>
      </c>
      <c r="I42" s="60">
        <f t="shared" si="38"/>
        <v>-1</v>
      </c>
      <c r="J42" s="60">
        <f t="shared" si="38"/>
        <v>-1</v>
      </c>
      <c r="K42" s="60">
        <f t="shared" si="38"/>
        <v>-1</v>
      </c>
      <c r="L42" s="60">
        <f t="shared" si="38"/>
        <v>-1</v>
      </c>
      <c r="M42" s="60">
        <f t="shared" si="38"/>
        <v>-1</v>
      </c>
      <c r="N42" s="60">
        <f t="shared" si="38"/>
        <v>-2</v>
      </c>
      <c r="O42" s="60">
        <f t="shared" si="38"/>
        <v>-1</v>
      </c>
      <c r="P42" s="60">
        <f t="shared" si="38"/>
        <v>-1</v>
      </c>
      <c r="Q42" s="61">
        <f>SUM(H42:P42)</f>
        <v>-11</v>
      </c>
      <c r="S42" s="62" t="str">
        <f>$A$12</f>
        <v>Front</v>
      </c>
      <c r="T42" s="42">
        <f t="shared" ref="T42:AB42" si="39">IF($A$12="Front",T$1,T$2)</f>
        <v>4</v>
      </c>
      <c r="U42" s="42">
        <f t="shared" si="39"/>
        <v>3</v>
      </c>
      <c r="V42" s="42">
        <f t="shared" si="39"/>
        <v>4</v>
      </c>
      <c r="W42" s="42">
        <f t="shared" si="39"/>
        <v>5</v>
      </c>
      <c r="X42" s="42">
        <f t="shared" si="39"/>
        <v>4</v>
      </c>
      <c r="Y42" s="42">
        <f t="shared" si="39"/>
        <v>3</v>
      </c>
      <c r="Z42" s="42">
        <f t="shared" si="39"/>
        <v>4</v>
      </c>
      <c r="AA42" s="42">
        <f t="shared" si="39"/>
        <v>5</v>
      </c>
      <c r="AB42" s="42">
        <f t="shared" si="39"/>
        <v>4</v>
      </c>
      <c r="AC42" s="55">
        <f>SUM(T42:AB42)</f>
        <v>36</v>
      </c>
      <c r="AD42" s="40">
        <f>B37</f>
        <v>7</v>
      </c>
      <c r="AE42" s="80">
        <f>AC38+AC41</f>
        <v>0</v>
      </c>
      <c r="AF42" s="66">
        <f>IF(AC38&gt;=AC44,IF(AC38&gt;AC44,IF(AC41&gt;=AC47,IF(AC41&gt;AC47,4,3),2),IF(AC41&gt;=AC47,IF(AC41&gt;AC47,3,2),IF(AC41&gt;=AC47,IF(AC41&gt;AC47,2,1),1))),IF(AC41&gt;=AC47,IF(AC41&gt;AC47,2,1),0))</f>
        <v>1</v>
      </c>
      <c r="AG42" s="66">
        <f>IF(AE42&gt;AE48,4,IF(AE42=AE48,2,0))</f>
        <v>0</v>
      </c>
      <c r="AH42" s="67">
        <v>8</v>
      </c>
      <c r="AI42" s="67">
        <f>SUM(AF42:AH42)</f>
        <v>9</v>
      </c>
    </row>
    <row r="43" spans="1:35" x14ac:dyDescent="0.4">
      <c r="A43" s="63" t="s">
        <v>94</v>
      </c>
      <c r="B43" s="68">
        <v>9</v>
      </c>
      <c r="C43" s="69">
        <v>17</v>
      </c>
      <c r="D43" s="68" t="str">
        <f>VLOOKUP($C43,[1]Summary!$A$4:$D$39,4, FALSE)</f>
        <v>Chris Fahey</v>
      </c>
      <c r="E43" s="69"/>
      <c r="F43" s="69"/>
      <c r="G43" s="68" t="s">
        <v>89</v>
      </c>
      <c r="H43" s="69"/>
      <c r="I43" s="69"/>
      <c r="J43" s="69"/>
      <c r="K43" s="69"/>
      <c r="L43" s="69"/>
      <c r="M43" s="69"/>
      <c r="N43" s="69"/>
      <c r="O43" s="69"/>
      <c r="P43" s="69"/>
      <c r="Q43" s="70">
        <f>SUM(H43:P43)</f>
        <v>0</v>
      </c>
      <c r="S43" s="65" t="s">
        <v>90</v>
      </c>
      <c r="T43" s="51">
        <f t="shared" ref="T43:AB43" si="40">IF(H43&gt;=T45+H44+2,SUM(T45+H44+2),H43)</f>
        <v>0</v>
      </c>
      <c r="U43" s="51">
        <f t="shared" si="40"/>
        <v>0</v>
      </c>
      <c r="V43" s="51">
        <f t="shared" si="40"/>
        <v>0</v>
      </c>
      <c r="W43" s="51">
        <f t="shared" si="40"/>
        <v>0</v>
      </c>
      <c r="X43" s="51">
        <f t="shared" si="40"/>
        <v>0</v>
      </c>
      <c r="Y43" s="51">
        <f t="shared" si="40"/>
        <v>0</v>
      </c>
      <c r="Z43" s="51">
        <f t="shared" si="40"/>
        <v>0</v>
      </c>
      <c r="AA43" s="51">
        <f t="shared" si="40"/>
        <v>0</v>
      </c>
      <c r="AB43" s="51">
        <f t="shared" si="40"/>
        <v>0</v>
      </c>
      <c r="AC43" s="61">
        <f>SUM(T43:AB43)</f>
        <v>0</v>
      </c>
      <c r="AD43" s="40"/>
      <c r="AE43" s="2"/>
      <c r="AH43" s="2"/>
    </row>
    <row r="44" spans="1:35" x14ac:dyDescent="0.4">
      <c r="A44" s="53"/>
      <c r="B44" s="54"/>
      <c r="C44" s="54"/>
      <c r="D44" s="54"/>
      <c r="E44" s="54"/>
      <c r="F44" s="54"/>
      <c r="G44" s="42" t="s">
        <v>91</v>
      </c>
      <c r="H44" s="42">
        <f>IF($A$40="Front",VLOOKUP($Q44,'[1]Handicap Chart'!$B$4:$K$40,2),VLOOKUP($Q44,'[1]Handicap Chart'!$B$4:$K$40,10))</f>
        <v>1</v>
      </c>
      <c r="I44" s="42">
        <f>IF($A$40="Front",VLOOKUP($Q44,'[1]Handicap Chart'!$B$4:$K$40,4),VLOOKUP($Q44,'[1]Handicap Chart'!$B$4:$K$40,3))</f>
        <v>1</v>
      </c>
      <c r="J44" s="42">
        <f>IF($A$40="Front",VLOOKUP($Q44,'[1]Handicap Chart'!$B$4:$K$40,8),VLOOKUP($Q44,'[1]Handicap Chart'!$B$4:$K$40,6))</f>
        <v>1</v>
      </c>
      <c r="K44" s="42">
        <f>IF($A$40="Front",VLOOKUP($Q44,'[1]Handicap Chart'!$B$4:$K$40,9),VLOOKUP($Q44,'[1]Handicap Chart'!$B$4:$K$40,5))</f>
        <v>1</v>
      </c>
      <c r="L44" s="42">
        <f>IF($A$40="Front",VLOOKUP($Q44,'[1]Handicap Chart'!$B$4:$K$40,5),VLOOKUP($Q44,'[1]Handicap Chart'!$B$4:$K$40,4))</f>
        <v>1</v>
      </c>
      <c r="M44" s="42">
        <f>IF($A$40="Front",VLOOKUP($Q44,'[1]Handicap Chart'!$B$4:$K$40,10),VLOOKUP($Q44,'[1]Handicap Chart'!$B$4:$K$40,9))</f>
        <v>0</v>
      </c>
      <c r="N44" s="42">
        <f>IF($A$40="Front",VLOOKUP($Q44,'[1]Handicap Chart'!$B$4:$K$40,3),VLOOKUP($Q44,'[1]Handicap Chart'!$B$4:$K$40,7))</f>
        <v>1</v>
      </c>
      <c r="O44" s="42">
        <f>IF($A$40="Front",VLOOKUP($Q44,'[1]Handicap Chart'!$B$4:$K$40,7),VLOOKUP($Q44,'[1]Handicap Chart'!$B$4:$K$40,8))</f>
        <v>1</v>
      </c>
      <c r="P44" s="42">
        <f>IF($A$40="Front",VLOOKUP($Q44,'[1]Handicap Chart'!$B$4:$K$40,6),VLOOKUP($Q44,'[1]Handicap Chart'!$B$4:$K$40,2))</f>
        <v>1</v>
      </c>
      <c r="Q44" s="55">
        <f>VLOOKUP($C43,[1]Summary!$A$4:$BL$39,47, FALSE)</f>
        <v>8</v>
      </c>
      <c r="S44" s="71" t="s">
        <v>92</v>
      </c>
      <c r="T44" s="71">
        <f>IF(OR(EXACT($E43,"Y"),(EXACT($F43,"Y"))),"-",IF(H45-T45&gt;1,-1,IF(H45-T45=0,1,IF(H45-T45=-1,3,IF(H45-T45=-2,4,IF(H45-T45=-3,5,0))))))</f>
        <v>0</v>
      </c>
      <c r="U44" s="71">
        <f t="shared" ref="U44:AB44" si="41">IF(OR(EXACT($E43,"Y"),(EXACT($F43,"Y"))),"-",IF(I45-U45&gt;1,-1,IF(I45-U45=0,1,IF(I45-U45=-1,3,IF(I45-U45=-2,4,IF(I45-U45=-3,5,0))))))</f>
        <v>0</v>
      </c>
      <c r="V44" s="71">
        <f t="shared" si="41"/>
        <v>0</v>
      </c>
      <c r="W44" s="71">
        <f t="shared" si="41"/>
        <v>0</v>
      </c>
      <c r="X44" s="71">
        <f t="shared" si="41"/>
        <v>0</v>
      </c>
      <c r="Y44" s="71">
        <f t="shared" si="41"/>
        <v>5</v>
      </c>
      <c r="Z44" s="71">
        <f t="shared" si="41"/>
        <v>0</v>
      </c>
      <c r="AA44" s="71">
        <f t="shared" si="41"/>
        <v>0</v>
      </c>
      <c r="AB44" s="71">
        <f t="shared" si="41"/>
        <v>0</v>
      </c>
      <c r="AC44" s="70">
        <f>IF(EXACT(E43,"Y"),6,IF(EXACT(F43,"Y"),2,SUM(T44:AB44)))</f>
        <v>5</v>
      </c>
      <c r="AD44" s="40"/>
      <c r="AE44" s="2"/>
      <c r="AH44" s="2"/>
    </row>
    <row r="45" spans="1:35" x14ac:dyDescent="0.4">
      <c r="A45" s="53"/>
      <c r="B45" s="54"/>
      <c r="C45" s="54"/>
      <c r="D45" s="54"/>
      <c r="E45" s="54"/>
      <c r="F45" s="54"/>
      <c r="G45" s="59" t="s">
        <v>93</v>
      </c>
      <c r="H45" s="60">
        <f t="shared" ref="H45:P45" si="42">IF(OR(EXACT($E43,"Y"),(EXACT($F43,"Y"))),"-",H43-H44)</f>
        <v>-1</v>
      </c>
      <c r="I45" s="60">
        <f t="shared" si="42"/>
        <v>-1</v>
      </c>
      <c r="J45" s="60">
        <f t="shared" si="42"/>
        <v>-1</v>
      </c>
      <c r="K45" s="60">
        <f t="shared" si="42"/>
        <v>-1</v>
      </c>
      <c r="L45" s="60">
        <f t="shared" si="42"/>
        <v>-1</v>
      </c>
      <c r="M45" s="60">
        <f t="shared" si="42"/>
        <v>0</v>
      </c>
      <c r="N45" s="60">
        <f t="shared" si="42"/>
        <v>-1</v>
      </c>
      <c r="O45" s="60">
        <f t="shared" si="42"/>
        <v>-1</v>
      </c>
      <c r="P45" s="60">
        <f t="shared" si="42"/>
        <v>-1</v>
      </c>
      <c r="Q45" s="61">
        <f>SUM(H45:P45)</f>
        <v>-8</v>
      </c>
      <c r="S45" s="62" t="str">
        <f>$A$12</f>
        <v>Front</v>
      </c>
      <c r="T45" s="42">
        <f t="shared" ref="T45:AB45" si="43">IF($A$12="Front",T$1,T$2)</f>
        <v>4</v>
      </c>
      <c r="U45" s="42">
        <f t="shared" si="43"/>
        <v>3</v>
      </c>
      <c r="V45" s="42">
        <f t="shared" si="43"/>
        <v>4</v>
      </c>
      <c r="W45" s="42">
        <f t="shared" si="43"/>
        <v>5</v>
      </c>
      <c r="X45" s="42">
        <f t="shared" si="43"/>
        <v>4</v>
      </c>
      <c r="Y45" s="42">
        <f t="shared" si="43"/>
        <v>3</v>
      </c>
      <c r="Z45" s="42">
        <f t="shared" si="43"/>
        <v>4</v>
      </c>
      <c r="AA45" s="42">
        <f t="shared" si="43"/>
        <v>5</v>
      </c>
      <c r="AB45" s="42">
        <f t="shared" si="43"/>
        <v>4</v>
      </c>
      <c r="AC45" s="55">
        <f>SUM(T45:AB45)</f>
        <v>36</v>
      </c>
      <c r="AD45" s="40"/>
      <c r="AE45" s="2"/>
      <c r="AH45" s="2"/>
    </row>
    <row r="46" spans="1:35" x14ac:dyDescent="0.4">
      <c r="A46" s="63" t="s">
        <v>97</v>
      </c>
      <c r="B46" s="68">
        <v>9</v>
      </c>
      <c r="C46" s="69">
        <v>18</v>
      </c>
      <c r="D46" s="68" t="str">
        <f>VLOOKUP($C46,[1]Summary!$A$4:$D$39,4, FALSE)</f>
        <v>JC Olivos</v>
      </c>
      <c r="E46" s="69"/>
      <c r="F46" s="69"/>
      <c r="G46" s="68" t="s">
        <v>89</v>
      </c>
      <c r="H46" s="69"/>
      <c r="I46" s="69"/>
      <c r="J46" s="69"/>
      <c r="K46" s="69"/>
      <c r="L46" s="69"/>
      <c r="M46" s="69"/>
      <c r="N46" s="69"/>
      <c r="O46" s="69"/>
      <c r="P46" s="69"/>
      <c r="Q46" s="70">
        <f>SUM(H46:P46)</f>
        <v>0</v>
      </c>
      <c r="S46" s="65" t="s">
        <v>90</v>
      </c>
      <c r="T46" s="51">
        <f t="shared" ref="T46:AB46" si="44">IF(H46&gt;=T48+H47+2,SUM(T48+H47+2),H46)</f>
        <v>0</v>
      </c>
      <c r="U46" s="51">
        <f t="shared" si="44"/>
        <v>0</v>
      </c>
      <c r="V46" s="51">
        <f t="shared" si="44"/>
        <v>0</v>
      </c>
      <c r="W46" s="51">
        <f t="shared" si="44"/>
        <v>0</v>
      </c>
      <c r="X46" s="51">
        <f t="shared" si="44"/>
        <v>0</v>
      </c>
      <c r="Y46" s="51">
        <f t="shared" si="44"/>
        <v>0</v>
      </c>
      <c r="Z46" s="51">
        <f t="shared" si="44"/>
        <v>0</v>
      </c>
      <c r="AA46" s="51">
        <f t="shared" si="44"/>
        <v>0</v>
      </c>
      <c r="AB46" s="51">
        <f t="shared" si="44"/>
        <v>0</v>
      </c>
      <c r="AC46" s="61">
        <f>SUM(T46:AB46)</f>
        <v>0</v>
      </c>
      <c r="AD46" s="40"/>
      <c r="AE46" s="2"/>
      <c r="AH46" s="2"/>
    </row>
    <row r="47" spans="1:35" ht="15" thickBot="1" x14ac:dyDescent="0.45">
      <c r="A47" s="53"/>
      <c r="B47" s="54"/>
      <c r="C47" s="54"/>
      <c r="D47" s="54"/>
      <c r="E47" s="54"/>
      <c r="F47" s="54"/>
      <c r="G47" s="42" t="s">
        <v>91</v>
      </c>
      <c r="H47" s="42">
        <f>IF($A$40="Front",VLOOKUP($Q47,'[1]Handicap Chart'!$B$4:$K$40,2),VLOOKUP($Q47,'[1]Handicap Chart'!$B$4:$K$40,10))</f>
        <v>1</v>
      </c>
      <c r="I47" s="42">
        <f>IF($A$40="Front",VLOOKUP($Q47,'[1]Handicap Chart'!$B$4:$K$40,4),VLOOKUP($Q47,'[1]Handicap Chart'!$B$4:$K$40,3))</f>
        <v>1</v>
      </c>
      <c r="J47" s="42">
        <f>IF($A$40="Front",VLOOKUP($Q47,'[1]Handicap Chart'!$B$4:$K$40,8),VLOOKUP($Q47,'[1]Handicap Chart'!$B$4:$K$40,6))</f>
        <v>1</v>
      </c>
      <c r="K47" s="42">
        <f>IF($A$40="Front",VLOOKUP($Q47,'[1]Handicap Chart'!$B$4:$K$40,9),VLOOKUP($Q47,'[1]Handicap Chart'!$B$4:$K$40,5))</f>
        <v>1</v>
      </c>
      <c r="L47" s="42">
        <f>IF($A$40="Front",VLOOKUP($Q47,'[1]Handicap Chart'!$B$4:$K$40,5),VLOOKUP($Q47,'[1]Handicap Chart'!$B$4:$K$40,4))</f>
        <v>1</v>
      </c>
      <c r="M47" s="42">
        <f>IF($A$40="Front",VLOOKUP($Q47,'[1]Handicap Chart'!$B$4:$K$40,10),VLOOKUP($Q47,'[1]Handicap Chart'!$B$4:$K$40,9))</f>
        <v>1</v>
      </c>
      <c r="N47" s="42">
        <f>IF($A$40="Front",VLOOKUP($Q47,'[1]Handicap Chart'!$B$4:$K$40,3),VLOOKUP($Q47,'[1]Handicap Chart'!$B$4:$K$40,7))</f>
        <v>1</v>
      </c>
      <c r="O47" s="42">
        <f>IF($A$40="Front",VLOOKUP($Q47,'[1]Handicap Chart'!$B$4:$K$40,7),VLOOKUP($Q47,'[1]Handicap Chart'!$B$4:$K$40,8))</f>
        <v>1</v>
      </c>
      <c r="P47" s="42">
        <f>IF($A$40="Front",VLOOKUP($Q47,'[1]Handicap Chart'!$B$4:$K$40,6),VLOOKUP($Q47,'[1]Handicap Chart'!$B$4:$K$40,2))</f>
        <v>1</v>
      </c>
      <c r="Q47" s="55">
        <f>VLOOKUP($C46,[1]Summary!$A$4:$BL$39,47, FALSE)</f>
        <v>9</v>
      </c>
      <c r="S47" s="71" t="s">
        <v>92</v>
      </c>
      <c r="T47" s="71">
        <f>IF(OR(EXACT($E46,"Y"),(EXACT($F46,"Y"))),"-",IF(H48-T48&gt;1,-1,IF(H48-T48=0,1,IF(H48-T48=-1,3,IF(H48-T48=-2,4,IF(H48-T48=-3,5,0))))))</f>
        <v>0</v>
      </c>
      <c r="U47" s="71">
        <f t="shared" ref="U47:AB47" si="45">IF(OR(EXACT($E46,"Y"),(EXACT($F46,"Y"))),"-",IF(I48-U48&gt;1,-1,IF(I48-U48=0,1,IF(I48-U48=-1,3,IF(I48-U48=-2,4,IF(I48-U48=-3,5,0))))))</f>
        <v>0</v>
      </c>
      <c r="V47" s="71">
        <f t="shared" si="45"/>
        <v>0</v>
      </c>
      <c r="W47" s="71">
        <f t="shared" si="45"/>
        <v>0</v>
      </c>
      <c r="X47" s="71">
        <f t="shared" si="45"/>
        <v>0</v>
      </c>
      <c r="Y47" s="71">
        <f t="shared" si="45"/>
        <v>0</v>
      </c>
      <c r="Z47" s="71">
        <f t="shared" si="45"/>
        <v>0</v>
      </c>
      <c r="AA47" s="71">
        <f t="shared" si="45"/>
        <v>0</v>
      </c>
      <c r="AB47" s="71">
        <f t="shared" si="45"/>
        <v>0</v>
      </c>
      <c r="AC47" s="70">
        <f>IF(EXACT(E46,"Y"),6,IF(EXACT(F46,"Y"),2,SUM(T47:AB47)))</f>
        <v>0</v>
      </c>
      <c r="AD47" s="40"/>
      <c r="AE47" s="2"/>
      <c r="AH47" s="2"/>
    </row>
    <row r="48" spans="1:35" ht="15" thickBot="1" x14ac:dyDescent="0.45">
      <c r="A48" s="72"/>
      <c r="B48" s="73"/>
      <c r="C48" s="73"/>
      <c r="D48" s="73"/>
      <c r="E48" s="73"/>
      <c r="F48" s="73"/>
      <c r="G48" s="74" t="s">
        <v>93</v>
      </c>
      <c r="H48" s="60">
        <f t="shared" ref="H48:P48" si="46">IF(OR(EXACT($E46,"Y"),(EXACT($F46,"Y"))),"-",H46-H47)</f>
        <v>-1</v>
      </c>
      <c r="I48" s="60">
        <f t="shared" si="46"/>
        <v>-1</v>
      </c>
      <c r="J48" s="60">
        <f t="shared" si="46"/>
        <v>-1</v>
      </c>
      <c r="K48" s="60">
        <f t="shared" si="46"/>
        <v>-1</v>
      </c>
      <c r="L48" s="60">
        <f t="shared" si="46"/>
        <v>-1</v>
      </c>
      <c r="M48" s="60">
        <f t="shared" si="46"/>
        <v>-1</v>
      </c>
      <c r="N48" s="60">
        <f t="shared" si="46"/>
        <v>-1</v>
      </c>
      <c r="O48" s="60">
        <f t="shared" si="46"/>
        <v>-1</v>
      </c>
      <c r="P48" s="60">
        <f t="shared" si="46"/>
        <v>-1</v>
      </c>
      <c r="Q48" s="75">
        <f>SUM(H48:P48)</f>
        <v>-9</v>
      </c>
      <c r="S48" s="27" t="str">
        <f>$A$12</f>
        <v>Front</v>
      </c>
      <c r="T48" s="76">
        <f t="shared" ref="T48:AB48" si="47">IF($A$12="Front",T$1,T$2)</f>
        <v>4</v>
      </c>
      <c r="U48" s="76">
        <f t="shared" si="47"/>
        <v>3</v>
      </c>
      <c r="V48" s="76">
        <f t="shared" si="47"/>
        <v>4</v>
      </c>
      <c r="W48" s="76">
        <f t="shared" si="47"/>
        <v>5</v>
      </c>
      <c r="X48" s="76">
        <f t="shared" si="47"/>
        <v>4</v>
      </c>
      <c r="Y48" s="76">
        <f t="shared" si="47"/>
        <v>3</v>
      </c>
      <c r="Z48" s="76">
        <f t="shared" si="47"/>
        <v>4</v>
      </c>
      <c r="AA48" s="76">
        <f t="shared" si="47"/>
        <v>5</v>
      </c>
      <c r="AB48" s="76">
        <f t="shared" si="47"/>
        <v>4</v>
      </c>
      <c r="AC48" s="77">
        <f>SUM(T48:AB48)</f>
        <v>36</v>
      </c>
      <c r="AD48" s="40">
        <f>B43</f>
        <v>9</v>
      </c>
      <c r="AE48" s="78">
        <f>AC44+AC47</f>
        <v>5</v>
      </c>
      <c r="AF48" s="78">
        <f>IF(AC44&gt;=AC38,IF(AC44&gt;AC38,IF(AC47&gt;=AC41,IF(AC47&gt;AC41,4,3),2),IF(AC47&gt;=AC41,IF(AC47&gt;AC41,3,2),IF(AC47&gt;=AC41,IF(AC47&gt;AC41,2,1),1))),IF(AC47&gt;=AC41,IF(AC47&gt;AC41,2,1),0))</f>
        <v>3</v>
      </c>
      <c r="AG48" s="78">
        <f>IF(AE48&gt;AE42,4,IF(AE48=AE42,2,0))</f>
        <v>4</v>
      </c>
      <c r="AH48" s="79">
        <v>2</v>
      </c>
      <c r="AI48" s="79">
        <f>SUM(AF48:AH48)</f>
        <v>9</v>
      </c>
    </row>
    <row r="49" spans="1:35" ht="15" thickBo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40"/>
      <c r="AE49" s="2"/>
      <c r="AH49" s="2"/>
    </row>
    <row r="50" spans="1:35" ht="15" thickBot="1" x14ac:dyDescent="0.45">
      <c r="A50" s="42" t="s">
        <v>82</v>
      </c>
      <c r="B50" s="42" t="s">
        <v>0</v>
      </c>
      <c r="C50" s="42" t="s">
        <v>6</v>
      </c>
      <c r="D50" s="42" t="s">
        <v>84</v>
      </c>
      <c r="E50" s="42" t="s">
        <v>85</v>
      </c>
      <c r="F50" s="42" t="s">
        <v>86</v>
      </c>
      <c r="G50" s="42"/>
      <c r="H50" s="42">
        <v>1</v>
      </c>
      <c r="I50" s="42">
        <v>2</v>
      </c>
      <c r="J50" s="42">
        <v>3</v>
      </c>
      <c r="K50" s="42">
        <v>4</v>
      </c>
      <c r="L50" s="42">
        <v>5</v>
      </c>
      <c r="M50" s="42">
        <v>6</v>
      </c>
      <c r="N50" s="42">
        <v>7</v>
      </c>
      <c r="O50" s="42">
        <v>8</v>
      </c>
      <c r="P50" s="42">
        <v>9</v>
      </c>
      <c r="Q50" s="42" t="s">
        <v>87</v>
      </c>
      <c r="S50" s="43" t="s">
        <v>88</v>
      </c>
      <c r="T50" s="44">
        <v>1</v>
      </c>
      <c r="U50" s="44">
        <v>2</v>
      </c>
      <c r="V50" s="44">
        <v>3</v>
      </c>
      <c r="W50" s="44">
        <v>4</v>
      </c>
      <c r="X50" s="44">
        <v>5</v>
      </c>
      <c r="Y50" s="44">
        <v>6</v>
      </c>
      <c r="Z50" s="44">
        <v>7</v>
      </c>
      <c r="AA50" s="44">
        <v>8</v>
      </c>
      <c r="AB50" s="44">
        <v>9</v>
      </c>
      <c r="AC50" s="45" t="s">
        <v>4</v>
      </c>
      <c r="AD50" s="40"/>
      <c r="AE50" s="2"/>
      <c r="AH50" s="2"/>
    </row>
    <row r="51" spans="1:35" x14ac:dyDescent="0.4">
      <c r="A51" s="46">
        <v>4</v>
      </c>
      <c r="B51" s="47">
        <v>13</v>
      </c>
      <c r="C51" s="48">
        <v>26</v>
      </c>
      <c r="D51" s="47" t="str">
        <f>VLOOKUP($C51,[1]Summary!$A$4:$BL$39,4, FALSE)</f>
        <v>Gordon Hammond</v>
      </c>
      <c r="E51" s="48"/>
      <c r="F51" s="48"/>
      <c r="G51" s="47" t="s">
        <v>89</v>
      </c>
      <c r="H51" s="48"/>
      <c r="I51" s="48"/>
      <c r="J51" s="48"/>
      <c r="K51" s="48"/>
      <c r="L51" s="48"/>
      <c r="M51" s="48"/>
      <c r="N51" s="48"/>
      <c r="O51" s="48"/>
      <c r="P51" s="48"/>
      <c r="Q51" s="49">
        <f>SUM(H51:P51)</f>
        <v>0</v>
      </c>
      <c r="S51" s="50" t="s">
        <v>90</v>
      </c>
      <c r="T51" s="51">
        <f t="shared" ref="T51:AB51" si="48">IF(H51&gt;=T53+H52+2,SUM(T53+H52+2),H51)</f>
        <v>0</v>
      </c>
      <c r="U51" s="51">
        <f t="shared" si="48"/>
        <v>0</v>
      </c>
      <c r="V51" s="51">
        <f t="shared" si="48"/>
        <v>0</v>
      </c>
      <c r="W51" s="51">
        <f t="shared" si="48"/>
        <v>0</v>
      </c>
      <c r="X51" s="51">
        <f t="shared" si="48"/>
        <v>0</v>
      </c>
      <c r="Y51" s="51">
        <f t="shared" si="48"/>
        <v>0</v>
      </c>
      <c r="Z51" s="51">
        <f t="shared" si="48"/>
        <v>0</v>
      </c>
      <c r="AA51" s="51">
        <f t="shared" si="48"/>
        <v>0</v>
      </c>
      <c r="AB51" s="51">
        <f t="shared" si="48"/>
        <v>0</v>
      </c>
      <c r="AC51" s="52">
        <f>SUM(T51:AB51)</f>
        <v>0</v>
      </c>
      <c r="AD51" s="40"/>
      <c r="AE51" s="2"/>
      <c r="AH51" s="2"/>
    </row>
    <row r="52" spans="1:35" x14ac:dyDescent="0.4">
      <c r="A52" s="53"/>
      <c r="B52" s="54"/>
      <c r="C52" s="54"/>
      <c r="D52" s="54"/>
      <c r="E52" s="54"/>
      <c r="F52" s="54"/>
      <c r="G52" s="42" t="s">
        <v>91</v>
      </c>
      <c r="H52" s="42">
        <f>IF($A$54="Front",VLOOKUP($Q52,'[1]Handicap Chart'!$B$4:$K$40,2),VLOOKUP($Q52,'[1]Handicap Chart'!$B$4:$K$40,10))</f>
        <v>1</v>
      </c>
      <c r="I52" s="42">
        <f>IF($A$54="Front",VLOOKUP($Q52,'[1]Handicap Chart'!$B$4:$K$40,4),VLOOKUP($Q52,'[1]Handicap Chart'!$B$4:$K$40,3))</f>
        <v>1</v>
      </c>
      <c r="J52" s="42">
        <f>IF($A$54="Front",VLOOKUP($Q52,'[1]Handicap Chart'!$B$4:$K$40,8),VLOOKUP($Q52,'[1]Handicap Chart'!$B$4:$K$40,6))</f>
        <v>1</v>
      </c>
      <c r="K52" s="42">
        <f>IF($A$54="Front",VLOOKUP($Q52,'[1]Handicap Chart'!$B$4:$K$40,9),VLOOKUP($Q52,'[1]Handicap Chart'!$B$4:$K$40,5))</f>
        <v>1</v>
      </c>
      <c r="L52" s="42">
        <f>IF($A$54="Front",VLOOKUP($Q52,'[1]Handicap Chart'!$B$4:$K$40,5),VLOOKUP($Q52,'[1]Handicap Chart'!$B$4:$K$40,4))</f>
        <v>1</v>
      </c>
      <c r="M52" s="42">
        <f>IF($A$54="Front",VLOOKUP($Q52,'[1]Handicap Chart'!$B$4:$K$40,10),VLOOKUP($Q52,'[1]Handicap Chart'!$B$4:$K$40,9))</f>
        <v>1</v>
      </c>
      <c r="N52" s="42">
        <f>IF($A$54="Front",VLOOKUP($Q52,'[1]Handicap Chart'!$B$4:$K$40,3),VLOOKUP($Q52,'[1]Handicap Chart'!$B$4:$K$40,7))</f>
        <v>1</v>
      </c>
      <c r="O52" s="42">
        <f>IF($A$54="Front",VLOOKUP($Q52,'[1]Handicap Chart'!$B$4:$K$40,7),VLOOKUP($Q52,'[1]Handicap Chart'!$B$4:$K$40,8))</f>
        <v>1</v>
      </c>
      <c r="P52" s="42">
        <f>IF($A$54="Front",VLOOKUP($Q52,'[1]Handicap Chart'!$B$4:$K$40,6),VLOOKUP($Q52,'[1]Handicap Chart'!$B$4:$K$40,2))</f>
        <v>1</v>
      </c>
      <c r="Q52" s="55">
        <f>VLOOKUP($C51,[1]Summary!$A$4:$BL$39,47, FALSE)</f>
        <v>9</v>
      </c>
      <c r="S52" s="56" t="s">
        <v>92</v>
      </c>
      <c r="T52" s="57">
        <f t="shared" ref="T52:AB52" si="49">IF(OR(EXACT($E51,"Y"),(EXACT($F51,"Y"))),"-",IF(H53-T53&gt;1,-1,IF(H53-T53=0,1,IF(H53-T53=-1,3,IF(H53-T53=-2,4,IF(H53-T53=-3,5,0))))))</f>
        <v>0</v>
      </c>
      <c r="U52" s="57">
        <f t="shared" si="49"/>
        <v>0</v>
      </c>
      <c r="V52" s="57">
        <f t="shared" si="49"/>
        <v>0</v>
      </c>
      <c r="W52" s="57">
        <f t="shared" si="49"/>
        <v>0</v>
      </c>
      <c r="X52" s="57">
        <f t="shared" si="49"/>
        <v>0</v>
      </c>
      <c r="Y52" s="57">
        <f t="shared" si="49"/>
        <v>0</v>
      </c>
      <c r="Z52" s="57">
        <f t="shared" si="49"/>
        <v>0</v>
      </c>
      <c r="AA52" s="57">
        <f t="shared" si="49"/>
        <v>0</v>
      </c>
      <c r="AB52" s="57">
        <f t="shared" si="49"/>
        <v>0</v>
      </c>
      <c r="AC52" s="58">
        <f>IF(EXACT(E51,"Y"),6,IF(EXACT(F51,"Y"),2,SUM(T52:AB52)))</f>
        <v>0</v>
      </c>
      <c r="AD52" s="40"/>
      <c r="AE52" s="2"/>
      <c r="AH52" s="2"/>
    </row>
    <row r="53" spans="1:35" ht="15" thickBot="1" x14ac:dyDescent="0.45">
      <c r="A53" s="53"/>
      <c r="B53" s="54"/>
      <c r="C53" s="54"/>
      <c r="D53" s="54"/>
      <c r="E53" s="54"/>
      <c r="F53" s="54"/>
      <c r="G53" s="59" t="s">
        <v>93</v>
      </c>
      <c r="H53" s="60">
        <f t="shared" ref="H53:P53" si="50">IF(OR(EXACT($E51,"Y"),(EXACT($F51,"Y"))),"-",H51-H52)</f>
        <v>-1</v>
      </c>
      <c r="I53" s="60">
        <f t="shared" si="50"/>
        <v>-1</v>
      </c>
      <c r="J53" s="60">
        <f t="shared" si="50"/>
        <v>-1</v>
      </c>
      <c r="K53" s="60">
        <f t="shared" si="50"/>
        <v>-1</v>
      </c>
      <c r="L53" s="60">
        <f t="shared" si="50"/>
        <v>-1</v>
      </c>
      <c r="M53" s="60">
        <f t="shared" si="50"/>
        <v>-1</v>
      </c>
      <c r="N53" s="60">
        <f t="shared" si="50"/>
        <v>-1</v>
      </c>
      <c r="O53" s="60">
        <f t="shared" si="50"/>
        <v>-1</v>
      </c>
      <c r="P53" s="60">
        <f t="shared" si="50"/>
        <v>-1</v>
      </c>
      <c r="Q53" s="61">
        <f>SUM(H53:P53)</f>
        <v>-9</v>
      </c>
      <c r="S53" s="62" t="str">
        <f>$A$12</f>
        <v>Front</v>
      </c>
      <c r="T53" s="42">
        <f t="shared" ref="T53:AB53" si="51">IF($A$12="Front",T$1,T$2)</f>
        <v>4</v>
      </c>
      <c r="U53" s="42">
        <f t="shared" si="51"/>
        <v>3</v>
      </c>
      <c r="V53" s="42">
        <f t="shared" si="51"/>
        <v>4</v>
      </c>
      <c r="W53" s="42">
        <f t="shared" si="51"/>
        <v>5</v>
      </c>
      <c r="X53" s="42">
        <f t="shared" si="51"/>
        <v>4</v>
      </c>
      <c r="Y53" s="42">
        <f t="shared" si="51"/>
        <v>3</v>
      </c>
      <c r="Z53" s="42">
        <f t="shared" si="51"/>
        <v>4</v>
      </c>
      <c r="AA53" s="42">
        <f t="shared" si="51"/>
        <v>5</v>
      </c>
      <c r="AB53" s="42">
        <f t="shared" si="51"/>
        <v>4</v>
      </c>
      <c r="AC53" s="55">
        <f>SUM(T53:AB53)</f>
        <v>36</v>
      </c>
      <c r="AD53" s="40"/>
      <c r="AE53" s="2"/>
      <c r="AH53" s="2"/>
    </row>
    <row r="54" spans="1:35" x14ac:dyDescent="0.4">
      <c r="A54" s="63" t="s">
        <v>74</v>
      </c>
      <c r="B54" s="57">
        <v>13</v>
      </c>
      <c r="C54" s="64">
        <v>25</v>
      </c>
      <c r="D54" s="47" t="str">
        <f>VLOOKUP($C54,[1]Summary!$A$4:$BL$39,4, FALSE)</f>
        <v>Betsy Wagner</v>
      </c>
      <c r="E54" s="64"/>
      <c r="F54" s="64"/>
      <c r="G54" s="57" t="s">
        <v>89</v>
      </c>
      <c r="H54" s="64"/>
      <c r="I54" s="64"/>
      <c r="J54" s="64"/>
      <c r="K54" s="64"/>
      <c r="L54" s="64"/>
      <c r="M54" s="64"/>
      <c r="N54" s="64"/>
      <c r="O54" s="64"/>
      <c r="P54" s="64"/>
      <c r="Q54" s="49">
        <f>SUM(H54:P54)</f>
        <v>0</v>
      </c>
      <c r="S54" s="65" t="s">
        <v>90</v>
      </c>
      <c r="T54" s="51">
        <f>IF(H54&gt;=T56+H55+2,SUM(T56+H55+2),H54)</f>
        <v>0</v>
      </c>
      <c r="U54" s="51">
        <f t="shared" ref="U54:AB54" si="52">IF(I54&gt;=U56+I55+2,SUM(U56+I55+2),I54)</f>
        <v>0</v>
      </c>
      <c r="V54" s="51">
        <f t="shared" si="52"/>
        <v>0</v>
      </c>
      <c r="W54" s="51">
        <f t="shared" si="52"/>
        <v>0</v>
      </c>
      <c r="X54" s="51">
        <f t="shared" si="52"/>
        <v>0</v>
      </c>
      <c r="Y54" s="51">
        <f t="shared" si="52"/>
        <v>0</v>
      </c>
      <c r="Z54" s="51">
        <f t="shared" si="52"/>
        <v>0</v>
      </c>
      <c r="AA54" s="51">
        <f t="shared" si="52"/>
        <v>0</v>
      </c>
      <c r="AB54" s="51">
        <f t="shared" si="52"/>
        <v>0</v>
      </c>
      <c r="AC54" s="61">
        <f>SUM(T54:AB54)</f>
        <v>0</v>
      </c>
      <c r="AD54" s="40"/>
      <c r="AE54" s="2"/>
      <c r="AH54" s="2"/>
    </row>
    <row r="55" spans="1:35" ht="15" thickBot="1" x14ac:dyDescent="0.45">
      <c r="A55" s="53"/>
      <c r="B55" s="54"/>
      <c r="C55" s="54"/>
      <c r="D55" s="54"/>
      <c r="E55" s="54"/>
      <c r="F55" s="54"/>
      <c r="G55" s="42" t="s">
        <v>91</v>
      </c>
      <c r="H55" s="42">
        <f>IF($A$54="Front",VLOOKUP($Q55,'[1]Handicap Chart'!$B$4:$K$40,2),VLOOKUP($Q55,'[1]Handicap Chart'!$B$4:$K$40,10))</f>
        <v>2</v>
      </c>
      <c r="I55" s="42">
        <f>IF($A$54="Front",VLOOKUP($Q55,'[1]Handicap Chart'!$B$4:$K$40,4),VLOOKUP($Q55,'[1]Handicap Chart'!$B$4:$K$40,3))</f>
        <v>2</v>
      </c>
      <c r="J55" s="42">
        <f>IF($A$54="Front",VLOOKUP($Q55,'[1]Handicap Chart'!$B$4:$K$40,8),VLOOKUP($Q55,'[1]Handicap Chart'!$B$4:$K$40,6))</f>
        <v>2</v>
      </c>
      <c r="K55" s="42">
        <f>IF($A$54="Front",VLOOKUP($Q55,'[1]Handicap Chart'!$B$4:$K$40,9),VLOOKUP($Q55,'[1]Handicap Chart'!$B$4:$K$40,5))</f>
        <v>2</v>
      </c>
      <c r="L55" s="42">
        <f>IF($A$54="Front",VLOOKUP($Q55,'[1]Handicap Chart'!$B$4:$K$40,5),VLOOKUP($Q55,'[1]Handicap Chart'!$B$4:$K$40,4))</f>
        <v>2</v>
      </c>
      <c r="M55" s="42">
        <f>IF($A$54="Front",VLOOKUP($Q55,'[1]Handicap Chart'!$B$4:$K$40,10),VLOOKUP($Q55,'[1]Handicap Chart'!$B$4:$K$40,9))</f>
        <v>2</v>
      </c>
      <c r="N55" s="42">
        <f>IF($A$54="Front",VLOOKUP($Q55,'[1]Handicap Chart'!$B$4:$K$40,3),VLOOKUP($Q55,'[1]Handicap Chart'!$B$4:$K$40,7))</f>
        <v>2</v>
      </c>
      <c r="O55" s="42">
        <f>IF($A$54="Front",VLOOKUP($Q55,'[1]Handicap Chart'!$B$4:$K$40,7),VLOOKUP($Q55,'[1]Handicap Chart'!$B$4:$K$40,8))</f>
        <v>2</v>
      </c>
      <c r="P55" s="42">
        <f>IF($A$54="Front",VLOOKUP($Q55,'[1]Handicap Chart'!$B$4:$K$40,6),VLOOKUP($Q55,'[1]Handicap Chart'!$B$4:$K$40,2))</f>
        <v>2</v>
      </c>
      <c r="Q55" s="55">
        <f>VLOOKUP($C54,[1]Summary!$A$4:$BL$39,47, FALSE)</f>
        <v>18</v>
      </c>
      <c r="S55" s="56" t="s">
        <v>92</v>
      </c>
      <c r="T55" s="57">
        <f t="shared" ref="T55:AB55" si="53">IF(OR(EXACT($E54,"Y"),(EXACT($F54,"Y"))),"-",IF(H56-T56&gt;1,-1,IF(H56-T56=0,1,IF(H56-T56=-1,3,IF(H56-T56=-2,4,IF(H56-T56=-3,5,0))))))</f>
        <v>0</v>
      </c>
      <c r="U55" s="57">
        <f t="shared" si="53"/>
        <v>0</v>
      </c>
      <c r="V55" s="57">
        <f t="shared" si="53"/>
        <v>0</v>
      </c>
      <c r="W55" s="57">
        <f t="shared" si="53"/>
        <v>0</v>
      </c>
      <c r="X55" s="57">
        <f t="shared" si="53"/>
        <v>0</v>
      </c>
      <c r="Y55" s="57">
        <f t="shared" si="53"/>
        <v>0</v>
      </c>
      <c r="Z55" s="57">
        <f t="shared" si="53"/>
        <v>0</v>
      </c>
      <c r="AA55" s="57">
        <f t="shared" si="53"/>
        <v>0</v>
      </c>
      <c r="AB55" s="57">
        <f t="shared" si="53"/>
        <v>0</v>
      </c>
      <c r="AC55" s="58">
        <f>IF(EXACT(E54,"Y"),6,IF(EXACT(F54,"Y"),2,SUM(T55:AB55)))</f>
        <v>0</v>
      </c>
      <c r="AD55" s="40"/>
      <c r="AE55" s="2"/>
      <c r="AH55" s="2"/>
    </row>
    <row r="56" spans="1:35" ht="15" thickBot="1" x14ac:dyDescent="0.45">
      <c r="A56" s="53"/>
      <c r="B56" s="54"/>
      <c r="C56" s="54"/>
      <c r="D56" s="54"/>
      <c r="E56" s="54"/>
      <c r="F56" s="54"/>
      <c r="G56" s="59" t="s">
        <v>93</v>
      </c>
      <c r="H56" s="60">
        <f t="shared" ref="H56:P56" si="54">IF(OR(EXACT($E54,"Y"),(EXACT($F54,"Y"))),"-",H54-H55)</f>
        <v>-2</v>
      </c>
      <c r="I56" s="60">
        <f t="shared" si="54"/>
        <v>-2</v>
      </c>
      <c r="J56" s="60">
        <f t="shared" si="54"/>
        <v>-2</v>
      </c>
      <c r="K56" s="60">
        <f t="shared" si="54"/>
        <v>-2</v>
      </c>
      <c r="L56" s="60">
        <f t="shared" si="54"/>
        <v>-2</v>
      </c>
      <c r="M56" s="60">
        <f t="shared" si="54"/>
        <v>-2</v>
      </c>
      <c r="N56" s="60">
        <f t="shared" si="54"/>
        <v>-2</v>
      </c>
      <c r="O56" s="60">
        <f t="shared" si="54"/>
        <v>-2</v>
      </c>
      <c r="P56" s="60">
        <f t="shared" si="54"/>
        <v>-2</v>
      </c>
      <c r="Q56" s="61">
        <f>SUM(H56:P56)</f>
        <v>-18</v>
      </c>
      <c r="S56" s="62" t="str">
        <f>$A$12</f>
        <v>Front</v>
      </c>
      <c r="T56" s="42">
        <f t="shared" ref="T56:AB56" si="55">IF($A$12="Front",T$1,T$2)</f>
        <v>4</v>
      </c>
      <c r="U56" s="42">
        <f t="shared" si="55"/>
        <v>3</v>
      </c>
      <c r="V56" s="42">
        <f t="shared" si="55"/>
        <v>4</v>
      </c>
      <c r="W56" s="42">
        <f t="shared" si="55"/>
        <v>5</v>
      </c>
      <c r="X56" s="42">
        <f t="shared" si="55"/>
        <v>4</v>
      </c>
      <c r="Y56" s="42">
        <f t="shared" si="55"/>
        <v>3</v>
      </c>
      <c r="Z56" s="42">
        <f t="shared" si="55"/>
        <v>4</v>
      </c>
      <c r="AA56" s="42">
        <f t="shared" si="55"/>
        <v>5</v>
      </c>
      <c r="AB56" s="42">
        <f t="shared" si="55"/>
        <v>4</v>
      </c>
      <c r="AC56" s="55">
        <f>SUM(T56:AB56)</f>
        <v>36</v>
      </c>
      <c r="AD56" s="40">
        <f>B51</f>
        <v>13</v>
      </c>
      <c r="AE56" s="80">
        <f>AC52+AC55</f>
        <v>0</v>
      </c>
      <c r="AF56" s="66">
        <f>IF(AC52&gt;=AC58,IF(AC52&gt;AC58,IF(AC55&gt;=AC61,IF(AC55&gt;AC61,4,3),2),IF(AC55&gt;=AC61,IF(AC55&gt;AC61,3,2),IF(AC55&gt;=AC61,IF(AC55&gt;AC61,2,1),1))),IF(AC55&gt;=AC61,IF(AC55&gt;AC61,2,1),0))</f>
        <v>2</v>
      </c>
      <c r="AG56" s="66">
        <f>IF(AE56&gt;AE62,4,IF(AE56=AE62,2,0))</f>
        <v>2</v>
      </c>
      <c r="AH56" s="67">
        <v>0</v>
      </c>
      <c r="AI56" s="67">
        <f>SUM(AF56:AH56)</f>
        <v>4</v>
      </c>
    </row>
    <row r="57" spans="1:35" x14ac:dyDescent="0.4">
      <c r="A57" s="63" t="s">
        <v>94</v>
      </c>
      <c r="B57" s="68">
        <v>15</v>
      </c>
      <c r="C57" s="69">
        <v>30</v>
      </c>
      <c r="D57" s="68" t="str">
        <f>VLOOKUP($C57,[1]Summary!$A$4:$BL$39,4, FALSE)</f>
        <v>Tracy Shantz</v>
      </c>
      <c r="E57" s="69"/>
      <c r="F57" s="69"/>
      <c r="G57" s="68" t="s">
        <v>89</v>
      </c>
      <c r="H57" s="69"/>
      <c r="I57" s="69"/>
      <c r="J57" s="69"/>
      <c r="K57" s="69"/>
      <c r="L57" s="69"/>
      <c r="M57" s="69"/>
      <c r="N57" s="69"/>
      <c r="O57" s="69"/>
      <c r="P57" s="69"/>
      <c r="Q57" s="70">
        <f>SUM(H57:P57)</f>
        <v>0</v>
      </c>
      <c r="S57" s="65" t="s">
        <v>90</v>
      </c>
      <c r="T57" s="51">
        <f t="shared" ref="T57:AB57" si="56">IF(H57&gt;=T59+H58+2,SUM(T59+H58+2),H57)</f>
        <v>0</v>
      </c>
      <c r="U57" s="51">
        <f t="shared" si="56"/>
        <v>0</v>
      </c>
      <c r="V57" s="51">
        <f t="shared" si="56"/>
        <v>0</v>
      </c>
      <c r="W57" s="51">
        <f t="shared" si="56"/>
        <v>0</v>
      </c>
      <c r="X57" s="51">
        <f t="shared" si="56"/>
        <v>0</v>
      </c>
      <c r="Y57" s="51">
        <f t="shared" si="56"/>
        <v>0</v>
      </c>
      <c r="Z57" s="51">
        <f t="shared" si="56"/>
        <v>0</v>
      </c>
      <c r="AA57" s="51">
        <f t="shared" si="56"/>
        <v>0</v>
      </c>
      <c r="AB57" s="51">
        <f t="shared" si="56"/>
        <v>0</v>
      </c>
      <c r="AC57" s="61">
        <f>SUM(T57:AB57)</f>
        <v>0</v>
      </c>
      <c r="AD57" s="40"/>
      <c r="AE57" s="2"/>
      <c r="AH57" s="2"/>
    </row>
    <row r="58" spans="1:35" x14ac:dyDescent="0.4">
      <c r="A58" s="53"/>
      <c r="B58" s="54"/>
      <c r="C58" s="54"/>
      <c r="D58" s="54"/>
      <c r="E58" s="54"/>
      <c r="F58" s="54"/>
      <c r="G58" s="42" t="s">
        <v>91</v>
      </c>
      <c r="H58" s="42">
        <f>IF($A$54="Front",VLOOKUP($Q58,'[1]Handicap Chart'!$B$4:$K$40,2),VLOOKUP($Q58,'[1]Handicap Chart'!$B$4:$K$40,10))</f>
        <v>2</v>
      </c>
      <c r="I58" s="42">
        <f>IF($A$54="Front",VLOOKUP($Q58,'[1]Handicap Chart'!$B$4:$K$40,4),VLOOKUP($Q58,'[1]Handicap Chart'!$B$4:$K$40,3))</f>
        <v>1</v>
      </c>
      <c r="J58" s="42">
        <f>IF($A$54="Front",VLOOKUP($Q58,'[1]Handicap Chart'!$B$4:$K$40,8),VLOOKUP($Q58,'[1]Handicap Chart'!$B$4:$K$40,6))</f>
        <v>1</v>
      </c>
      <c r="K58" s="42">
        <f>IF($A$54="Front",VLOOKUP($Q58,'[1]Handicap Chart'!$B$4:$K$40,9),VLOOKUP($Q58,'[1]Handicap Chart'!$B$4:$K$40,5))</f>
        <v>1</v>
      </c>
      <c r="L58" s="42">
        <f>IF($A$54="Front",VLOOKUP($Q58,'[1]Handicap Chart'!$B$4:$K$40,5),VLOOKUP($Q58,'[1]Handicap Chart'!$B$4:$K$40,4))</f>
        <v>1</v>
      </c>
      <c r="M58" s="42">
        <f>IF($A$54="Front",VLOOKUP($Q58,'[1]Handicap Chart'!$B$4:$K$40,10),VLOOKUP($Q58,'[1]Handicap Chart'!$B$4:$K$40,9))</f>
        <v>1</v>
      </c>
      <c r="N58" s="42">
        <f>IF($A$54="Front",VLOOKUP($Q58,'[1]Handicap Chart'!$B$4:$K$40,3),VLOOKUP($Q58,'[1]Handicap Chart'!$B$4:$K$40,7))</f>
        <v>1</v>
      </c>
      <c r="O58" s="42">
        <f>IF($A$54="Front",VLOOKUP($Q58,'[1]Handicap Chart'!$B$4:$K$40,7),VLOOKUP($Q58,'[1]Handicap Chart'!$B$4:$K$40,8))</f>
        <v>1</v>
      </c>
      <c r="P58" s="42">
        <f>IF($A$54="Front",VLOOKUP($Q58,'[1]Handicap Chart'!$B$4:$K$40,6),VLOOKUP($Q58,'[1]Handicap Chart'!$B$4:$K$40,2))</f>
        <v>1</v>
      </c>
      <c r="Q58" s="55">
        <f>VLOOKUP($C57,[1]Summary!$A$4:$BL$39,47, FALSE)</f>
        <v>10</v>
      </c>
      <c r="S58" s="71" t="s">
        <v>92</v>
      </c>
      <c r="T58" s="71">
        <f>IF(OR(EXACT($E57,"Y"),(EXACT($F57,"Y"))),"-",IF(H59-T59&gt;1,-1,IF(H59-T59=0,1,IF(H59-T59=-1,3,IF(H59-T59=-2,4,IF(H59-T59=-3,5,0))))))</f>
        <v>0</v>
      </c>
      <c r="U58" s="71">
        <f t="shared" ref="U58:AB58" si="57">IF(OR(EXACT($E57,"Y"),(EXACT($F57,"Y"))),"-",IF(I59-U59&gt;1,-1,IF(I59-U59=0,1,IF(I59-U59=-1,3,IF(I59-U59=-2,4,IF(I59-U59=-3,5,0))))))</f>
        <v>0</v>
      </c>
      <c r="V58" s="71">
        <f t="shared" si="57"/>
        <v>0</v>
      </c>
      <c r="W58" s="71">
        <f t="shared" si="57"/>
        <v>0</v>
      </c>
      <c r="X58" s="71">
        <f t="shared" si="57"/>
        <v>0</v>
      </c>
      <c r="Y58" s="71">
        <f t="shared" si="57"/>
        <v>0</v>
      </c>
      <c r="Z58" s="71">
        <f t="shared" si="57"/>
        <v>0</v>
      </c>
      <c r="AA58" s="71">
        <f t="shared" si="57"/>
        <v>0</v>
      </c>
      <c r="AB58" s="71">
        <f t="shared" si="57"/>
        <v>0</v>
      </c>
      <c r="AC58" s="70">
        <f>IF(EXACT(E57,"Y"),6,IF(EXACT(F57,"Y"),2,SUM(T58:AB58)))</f>
        <v>0</v>
      </c>
      <c r="AD58" s="40"/>
      <c r="AE58" s="2"/>
      <c r="AH58" s="2"/>
    </row>
    <row r="59" spans="1:35" x14ac:dyDescent="0.4">
      <c r="A59" s="53"/>
      <c r="B59" s="54"/>
      <c r="C59" s="54"/>
      <c r="D59" s="54"/>
      <c r="E59" s="54"/>
      <c r="F59" s="54"/>
      <c r="G59" s="59" t="s">
        <v>93</v>
      </c>
      <c r="H59" s="60">
        <f t="shared" ref="H59:P59" si="58">IF(OR(EXACT($E57,"Y"),(EXACT($F57,"Y"))),"-",H57-H58)</f>
        <v>-2</v>
      </c>
      <c r="I59" s="60">
        <f t="shared" si="58"/>
        <v>-1</v>
      </c>
      <c r="J59" s="60">
        <f t="shared" si="58"/>
        <v>-1</v>
      </c>
      <c r="K59" s="60">
        <f t="shared" si="58"/>
        <v>-1</v>
      </c>
      <c r="L59" s="60">
        <f t="shared" si="58"/>
        <v>-1</v>
      </c>
      <c r="M59" s="60">
        <f t="shared" si="58"/>
        <v>-1</v>
      </c>
      <c r="N59" s="60">
        <f t="shared" si="58"/>
        <v>-1</v>
      </c>
      <c r="O59" s="60">
        <f t="shared" si="58"/>
        <v>-1</v>
      </c>
      <c r="P59" s="60">
        <f t="shared" si="58"/>
        <v>-1</v>
      </c>
      <c r="Q59" s="61">
        <f>SUM(H59:P59)</f>
        <v>-10</v>
      </c>
      <c r="S59" s="62" t="str">
        <f>$A$12</f>
        <v>Front</v>
      </c>
      <c r="T59" s="42">
        <f t="shared" ref="T59:AB59" si="59">IF($A$12="Front",T$1,T$2)</f>
        <v>4</v>
      </c>
      <c r="U59" s="42">
        <f t="shared" si="59"/>
        <v>3</v>
      </c>
      <c r="V59" s="42">
        <f t="shared" si="59"/>
        <v>4</v>
      </c>
      <c r="W59" s="42">
        <f t="shared" si="59"/>
        <v>5</v>
      </c>
      <c r="X59" s="42">
        <f t="shared" si="59"/>
        <v>4</v>
      </c>
      <c r="Y59" s="42">
        <f t="shared" si="59"/>
        <v>3</v>
      </c>
      <c r="Z59" s="42">
        <f t="shared" si="59"/>
        <v>4</v>
      </c>
      <c r="AA59" s="42">
        <f t="shared" si="59"/>
        <v>5</v>
      </c>
      <c r="AB59" s="42">
        <f t="shared" si="59"/>
        <v>4</v>
      </c>
      <c r="AC59" s="55">
        <f>SUM(T59:AB59)</f>
        <v>36</v>
      </c>
      <c r="AD59" s="40"/>
      <c r="AE59" s="2"/>
      <c r="AH59" s="2"/>
    </row>
    <row r="60" spans="1:35" x14ac:dyDescent="0.4">
      <c r="A60" s="63" t="s">
        <v>98</v>
      </c>
      <c r="B60" s="68">
        <v>15</v>
      </c>
      <c r="C60" s="69">
        <v>29</v>
      </c>
      <c r="D60" s="68" t="str">
        <f>VLOOKUP($C60,[1]Summary!$A$4:$BL$39,4, FALSE)</f>
        <v>Jesse Jurden</v>
      </c>
      <c r="E60" s="69"/>
      <c r="F60" s="69"/>
      <c r="G60" s="68" t="s">
        <v>89</v>
      </c>
      <c r="H60" s="69"/>
      <c r="I60" s="69"/>
      <c r="J60" s="69"/>
      <c r="K60" s="69"/>
      <c r="L60" s="69"/>
      <c r="M60" s="69"/>
      <c r="N60" s="69"/>
      <c r="O60" s="69"/>
      <c r="P60" s="69"/>
      <c r="Q60" s="70">
        <f>SUM(H60:P60)</f>
        <v>0</v>
      </c>
      <c r="S60" s="65" t="s">
        <v>90</v>
      </c>
      <c r="T60" s="51">
        <f t="shared" ref="T60:AB60" si="60">IF(H60&gt;=T62+H61+2,SUM(T62+H61+2),H60)</f>
        <v>0</v>
      </c>
      <c r="U60" s="51">
        <f t="shared" si="60"/>
        <v>0</v>
      </c>
      <c r="V60" s="51">
        <f t="shared" si="60"/>
        <v>0</v>
      </c>
      <c r="W60" s="51">
        <f t="shared" si="60"/>
        <v>0</v>
      </c>
      <c r="X60" s="51">
        <f t="shared" si="60"/>
        <v>0</v>
      </c>
      <c r="Y60" s="51">
        <f t="shared" si="60"/>
        <v>0</v>
      </c>
      <c r="Z60" s="51">
        <f t="shared" si="60"/>
        <v>0</v>
      </c>
      <c r="AA60" s="51">
        <f t="shared" si="60"/>
        <v>0</v>
      </c>
      <c r="AB60" s="51">
        <f t="shared" si="60"/>
        <v>0</v>
      </c>
      <c r="AC60" s="61">
        <f>SUM(T60:AB60)</f>
        <v>0</v>
      </c>
      <c r="AD60" s="40"/>
      <c r="AE60" s="2"/>
      <c r="AH60" s="2"/>
    </row>
    <row r="61" spans="1:35" ht="15" thickBot="1" x14ac:dyDescent="0.45">
      <c r="A61" s="53"/>
      <c r="B61" s="54"/>
      <c r="C61" s="54"/>
      <c r="D61" s="54"/>
      <c r="E61" s="54"/>
      <c r="F61" s="54"/>
      <c r="G61" s="42" t="s">
        <v>91</v>
      </c>
      <c r="H61" s="42">
        <f>IF($A$54="Front",VLOOKUP($Q61,'[1]Handicap Chart'!$B$4:$K$40,2),VLOOKUP($Q61,'[1]Handicap Chart'!$B$4:$K$40,10))</f>
        <v>2</v>
      </c>
      <c r="I61" s="42">
        <f>IF($A$54="Front",VLOOKUP($Q61,'[1]Handicap Chart'!$B$4:$K$40,4),VLOOKUP($Q61,'[1]Handicap Chart'!$B$4:$K$40,3))</f>
        <v>2</v>
      </c>
      <c r="J61" s="42">
        <f>IF($A$54="Front",VLOOKUP($Q61,'[1]Handicap Chart'!$B$4:$K$40,8),VLOOKUP($Q61,'[1]Handicap Chart'!$B$4:$K$40,6))</f>
        <v>1</v>
      </c>
      <c r="K61" s="42">
        <f>IF($A$54="Front",VLOOKUP($Q61,'[1]Handicap Chart'!$B$4:$K$40,9),VLOOKUP($Q61,'[1]Handicap Chart'!$B$4:$K$40,5))</f>
        <v>1</v>
      </c>
      <c r="L61" s="42">
        <f>IF($A$54="Front",VLOOKUP($Q61,'[1]Handicap Chart'!$B$4:$K$40,5),VLOOKUP($Q61,'[1]Handicap Chart'!$B$4:$K$40,4))</f>
        <v>2</v>
      </c>
      <c r="M61" s="42">
        <f>IF($A$54="Front",VLOOKUP($Q61,'[1]Handicap Chart'!$B$4:$K$40,10),VLOOKUP($Q61,'[1]Handicap Chart'!$B$4:$K$40,9))</f>
        <v>1</v>
      </c>
      <c r="N61" s="42">
        <f>IF($A$54="Front",VLOOKUP($Q61,'[1]Handicap Chart'!$B$4:$K$40,3),VLOOKUP($Q61,'[1]Handicap Chart'!$B$4:$K$40,7))</f>
        <v>2</v>
      </c>
      <c r="O61" s="42">
        <f>IF($A$54="Front",VLOOKUP($Q61,'[1]Handicap Chart'!$B$4:$K$40,7),VLOOKUP($Q61,'[1]Handicap Chart'!$B$4:$K$40,8))</f>
        <v>1</v>
      </c>
      <c r="P61" s="42">
        <f>IF($A$54="Front",VLOOKUP($Q61,'[1]Handicap Chart'!$B$4:$K$40,6),VLOOKUP($Q61,'[1]Handicap Chart'!$B$4:$K$40,2))</f>
        <v>1</v>
      </c>
      <c r="Q61" s="55">
        <f>VLOOKUP($C60,[1]Summary!$A$4:$BL$39,47, FALSE)</f>
        <v>13</v>
      </c>
      <c r="S61" s="71" t="s">
        <v>92</v>
      </c>
      <c r="T61" s="71">
        <f>IF(OR(EXACT($E60,"Y"),(EXACT($F60,"Y"))),"-",IF(H62-T62&gt;1,-1,IF(H62-T62=0,1,IF(H62-T62=-1,3,IF(H62-T62=-2,4,IF(H62-T62=-3,5,0))))))</f>
        <v>0</v>
      </c>
      <c r="U61" s="71">
        <f t="shared" ref="U61:AB61" si="61">IF(OR(EXACT($E60,"Y"),(EXACT($F60,"Y"))),"-",IF(I62-U62&gt;1,-1,IF(I62-U62=0,1,IF(I62-U62=-1,3,IF(I62-U62=-2,4,IF(I62-U62=-3,5,0))))))</f>
        <v>0</v>
      </c>
      <c r="V61" s="71">
        <f t="shared" si="61"/>
        <v>0</v>
      </c>
      <c r="W61" s="71">
        <f t="shared" si="61"/>
        <v>0</v>
      </c>
      <c r="X61" s="71">
        <f t="shared" si="61"/>
        <v>0</v>
      </c>
      <c r="Y61" s="71">
        <f t="shared" si="61"/>
        <v>0</v>
      </c>
      <c r="Z61" s="71">
        <f t="shared" si="61"/>
        <v>0</v>
      </c>
      <c r="AA61" s="71">
        <f t="shared" si="61"/>
        <v>0</v>
      </c>
      <c r="AB61" s="71">
        <f t="shared" si="61"/>
        <v>0</v>
      </c>
      <c r="AC61" s="70">
        <f>IF(EXACT(E60,"Y"),6,IF(EXACT(F60,"Y"),2,SUM(T61:AB61)))</f>
        <v>0</v>
      </c>
      <c r="AD61" s="40"/>
      <c r="AE61" s="2"/>
      <c r="AH61" s="2"/>
    </row>
    <row r="62" spans="1:35" ht="15" thickBot="1" x14ac:dyDescent="0.45">
      <c r="A62" s="72"/>
      <c r="B62" s="73"/>
      <c r="C62" s="73"/>
      <c r="D62" s="73"/>
      <c r="E62" s="73"/>
      <c r="F62" s="73"/>
      <c r="G62" s="74" t="s">
        <v>93</v>
      </c>
      <c r="H62" s="60">
        <f t="shared" ref="H62:P62" si="62">IF(OR(EXACT($E60,"Y"),(EXACT($F60,"Y"))),"-",H60-H61)</f>
        <v>-2</v>
      </c>
      <c r="I62" s="60">
        <f t="shared" si="62"/>
        <v>-2</v>
      </c>
      <c r="J62" s="60">
        <f t="shared" si="62"/>
        <v>-1</v>
      </c>
      <c r="K62" s="60">
        <f t="shared" si="62"/>
        <v>-1</v>
      </c>
      <c r="L62" s="60">
        <f t="shared" si="62"/>
        <v>-2</v>
      </c>
      <c r="M62" s="60">
        <f t="shared" si="62"/>
        <v>-1</v>
      </c>
      <c r="N62" s="60">
        <f t="shared" si="62"/>
        <v>-2</v>
      </c>
      <c r="O62" s="60">
        <f t="shared" si="62"/>
        <v>-1</v>
      </c>
      <c r="P62" s="60">
        <f t="shared" si="62"/>
        <v>-1</v>
      </c>
      <c r="Q62" s="75">
        <f>SUM(H62:P62)</f>
        <v>-13</v>
      </c>
      <c r="S62" s="27" t="str">
        <f>$A$12</f>
        <v>Front</v>
      </c>
      <c r="T62" s="76">
        <f t="shared" ref="T62:AB62" si="63">IF($A$12="Front",T$1,T$2)</f>
        <v>4</v>
      </c>
      <c r="U62" s="76">
        <f t="shared" si="63"/>
        <v>3</v>
      </c>
      <c r="V62" s="76">
        <f t="shared" si="63"/>
        <v>4</v>
      </c>
      <c r="W62" s="76">
        <f t="shared" si="63"/>
        <v>5</v>
      </c>
      <c r="X62" s="76">
        <f t="shared" si="63"/>
        <v>4</v>
      </c>
      <c r="Y62" s="76">
        <f t="shared" si="63"/>
        <v>3</v>
      </c>
      <c r="Z62" s="76">
        <f t="shared" si="63"/>
        <v>4</v>
      </c>
      <c r="AA62" s="76">
        <f t="shared" si="63"/>
        <v>5</v>
      </c>
      <c r="AB62" s="76">
        <f t="shared" si="63"/>
        <v>4</v>
      </c>
      <c r="AC62" s="77">
        <f>SUM(T62:AB62)</f>
        <v>36</v>
      </c>
      <c r="AD62" s="40">
        <f>B57</f>
        <v>15</v>
      </c>
      <c r="AE62" s="78">
        <f>AC58+AC61</f>
        <v>0</v>
      </c>
      <c r="AF62" s="78">
        <f>IF(AC58&gt;=AC52,IF(AC58&gt;AC52,IF(AC61&gt;=AC55,IF(AC61&gt;AC55,4,3),2),IF(AC61&gt;=AC55,IF(AC61&gt;AC55,3,2),IF(AC61&gt;=AC55,IF(AC61&gt;AC55,2,1),1))),IF(AC61&gt;=AC55,IF(AC61&gt;AC55,2,1),0))</f>
        <v>2</v>
      </c>
      <c r="AG62" s="78">
        <f>IF(AE62&gt;AE56,4,IF(AE62=AE56,2,0))</f>
        <v>2</v>
      </c>
      <c r="AH62" s="79">
        <v>6</v>
      </c>
      <c r="AI62" s="79">
        <f>SUM(AF62:AH62)</f>
        <v>10</v>
      </c>
    </row>
    <row r="63" spans="1:35" ht="15" thickBo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40"/>
      <c r="AE63" s="2"/>
      <c r="AH63" s="2"/>
    </row>
    <row r="64" spans="1:35" ht="15" thickBot="1" x14ac:dyDescent="0.45">
      <c r="A64" s="42" t="s">
        <v>82</v>
      </c>
      <c r="B64" s="42" t="s">
        <v>0</v>
      </c>
      <c r="C64" s="42" t="s">
        <v>6</v>
      </c>
      <c r="D64" s="42" t="s">
        <v>84</v>
      </c>
      <c r="E64" s="42" t="s">
        <v>85</v>
      </c>
      <c r="F64" s="42" t="s">
        <v>86</v>
      </c>
      <c r="G64" s="42"/>
      <c r="H64" s="42">
        <v>1</v>
      </c>
      <c r="I64" s="42">
        <v>2</v>
      </c>
      <c r="J64" s="42">
        <v>3</v>
      </c>
      <c r="K64" s="42">
        <v>4</v>
      </c>
      <c r="L64" s="42">
        <v>5</v>
      </c>
      <c r="M64" s="42">
        <v>6</v>
      </c>
      <c r="N64" s="42">
        <v>7</v>
      </c>
      <c r="O64" s="42">
        <v>8</v>
      </c>
      <c r="P64" s="42">
        <v>9</v>
      </c>
      <c r="Q64" s="42" t="s">
        <v>87</v>
      </c>
      <c r="S64" s="43" t="s">
        <v>88</v>
      </c>
      <c r="T64" s="44">
        <v>1</v>
      </c>
      <c r="U64" s="44">
        <v>2</v>
      </c>
      <c r="V64" s="44">
        <v>3</v>
      </c>
      <c r="W64" s="44">
        <v>4</v>
      </c>
      <c r="X64" s="44">
        <v>5</v>
      </c>
      <c r="Y64" s="44">
        <v>6</v>
      </c>
      <c r="Z64" s="44">
        <v>7</v>
      </c>
      <c r="AA64" s="44">
        <v>8</v>
      </c>
      <c r="AB64" s="44">
        <v>9</v>
      </c>
      <c r="AC64" s="45" t="s">
        <v>4</v>
      </c>
      <c r="AD64" s="40"/>
      <c r="AE64" s="2"/>
      <c r="AH64" s="2"/>
    </row>
    <row r="65" spans="1:35" x14ac:dyDescent="0.4">
      <c r="A65" s="46">
        <v>5</v>
      </c>
      <c r="B65" s="47">
        <v>18</v>
      </c>
      <c r="C65" s="48">
        <v>36</v>
      </c>
      <c r="D65" s="47" t="str">
        <f>VLOOKUP($C65,[1]Summary!$A$4:$BL$39,4, FALSE)</f>
        <v>Mark Mitchell</v>
      </c>
      <c r="E65" s="48"/>
      <c r="F65" s="48"/>
      <c r="G65" s="47" t="s">
        <v>89</v>
      </c>
      <c r="H65" s="48"/>
      <c r="I65" s="48"/>
      <c r="J65" s="48"/>
      <c r="K65" s="48"/>
      <c r="L65" s="48"/>
      <c r="M65" s="48"/>
      <c r="N65" s="48"/>
      <c r="O65" s="48"/>
      <c r="P65" s="48"/>
      <c r="Q65" s="49">
        <f>SUM(H65:P65)</f>
        <v>0</v>
      </c>
      <c r="S65" s="50" t="s">
        <v>90</v>
      </c>
      <c r="T65" s="51">
        <f t="shared" ref="T65:AB65" si="64">IF(H65&gt;=T67+H66+2,SUM(T67+H66+2),H65)</f>
        <v>0</v>
      </c>
      <c r="U65" s="51">
        <f t="shared" si="64"/>
        <v>0</v>
      </c>
      <c r="V65" s="51">
        <f t="shared" si="64"/>
        <v>0</v>
      </c>
      <c r="W65" s="51">
        <f t="shared" si="64"/>
        <v>0</v>
      </c>
      <c r="X65" s="51">
        <f t="shared" si="64"/>
        <v>0</v>
      </c>
      <c r="Y65" s="51">
        <f t="shared" si="64"/>
        <v>0</v>
      </c>
      <c r="Z65" s="51">
        <f t="shared" si="64"/>
        <v>0</v>
      </c>
      <c r="AA65" s="51">
        <f t="shared" si="64"/>
        <v>0</v>
      </c>
      <c r="AB65" s="51">
        <f t="shared" si="64"/>
        <v>0</v>
      </c>
      <c r="AC65" s="52">
        <f>SUM(T65:AB65)</f>
        <v>0</v>
      </c>
      <c r="AD65" s="40"/>
      <c r="AE65" s="2"/>
      <c r="AH65" s="2"/>
    </row>
    <row r="66" spans="1:35" x14ac:dyDescent="0.4">
      <c r="A66" s="53"/>
      <c r="B66" s="54"/>
      <c r="C66" s="54"/>
      <c r="D66" s="54"/>
      <c r="E66" s="54"/>
      <c r="F66" s="54"/>
      <c r="G66" s="42" t="s">
        <v>91</v>
      </c>
      <c r="H66" s="42">
        <f>IF($A$68="Front",VLOOKUP($Q66,'[1]Handicap Chart'!$B$4:$K$40,2),VLOOKUP($Q66,'[1]Handicap Chart'!$B$4:$K$40,10))</f>
        <v>2</v>
      </c>
      <c r="I66" s="42">
        <f>IF($A$68="Front",VLOOKUP($Q66,'[1]Handicap Chart'!$B$4:$K$40,4),VLOOKUP($Q66,'[1]Handicap Chart'!$B$4:$K$40,3))</f>
        <v>2</v>
      </c>
      <c r="J66" s="42">
        <f>IF($A$68="Front",VLOOKUP($Q66,'[1]Handicap Chart'!$B$4:$K$40,8),VLOOKUP($Q66,'[1]Handicap Chart'!$B$4:$K$40,6))</f>
        <v>1</v>
      </c>
      <c r="K66" s="42">
        <f>IF($A$68="Front",VLOOKUP($Q66,'[1]Handicap Chart'!$B$4:$K$40,9),VLOOKUP($Q66,'[1]Handicap Chart'!$B$4:$K$40,5))</f>
        <v>1</v>
      </c>
      <c r="L66" s="42">
        <f>IF($A$68="Front",VLOOKUP($Q66,'[1]Handicap Chart'!$B$4:$K$40,5),VLOOKUP($Q66,'[1]Handicap Chart'!$B$4:$K$40,4))</f>
        <v>2</v>
      </c>
      <c r="M66" s="42">
        <f>IF($A$68="Front",VLOOKUP($Q66,'[1]Handicap Chart'!$B$4:$K$40,10),VLOOKUP($Q66,'[1]Handicap Chart'!$B$4:$K$40,9))</f>
        <v>1</v>
      </c>
      <c r="N66" s="42">
        <f>IF($A$68="Front",VLOOKUP($Q66,'[1]Handicap Chart'!$B$4:$K$40,3),VLOOKUP($Q66,'[1]Handicap Chart'!$B$4:$K$40,7))</f>
        <v>2</v>
      </c>
      <c r="O66" s="42">
        <f>IF($A$68="Front",VLOOKUP($Q66,'[1]Handicap Chart'!$B$4:$K$40,7),VLOOKUP($Q66,'[1]Handicap Chart'!$B$4:$K$40,8))</f>
        <v>1</v>
      </c>
      <c r="P66" s="42">
        <f>IF($A$68="Front",VLOOKUP($Q66,'[1]Handicap Chart'!$B$4:$K$40,6),VLOOKUP($Q66,'[1]Handicap Chart'!$B$4:$K$40,2))</f>
        <v>1</v>
      </c>
      <c r="Q66" s="55">
        <f>VLOOKUP($C65,[1]Summary!$A$4:$BL$39,47, FALSE)</f>
        <v>13</v>
      </c>
      <c r="S66" s="56" t="s">
        <v>92</v>
      </c>
      <c r="T66" s="57">
        <f t="shared" ref="T66:AB66" si="65">IF(OR(EXACT($E65,"Y"),(EXACT($F65,"Y"))),"-",IF(H67-T67&gt;1,-1,IF(H67-T67=0,1,IF(H67-T67=-1,3,IF(H67-T67=-2,4,IF(H67-T67=-3,5,0))))))</f>
        <v>0</v>
      </c>
      <c r="U66" s="57">
        <f t="shared" si="65"/>
        <v>0</v>
      </c>
      <c r="V66" s="57">
        <f t="shared" si="65"/>
        <v>0</v>
      </c>
      <c r="W66" s="57">
        <f t="shared" si="65"/>
        <v>0</v>
      </c>
      <c r="X66" s="57">
        <f t="shared" si="65"/>
        <v>0</v>
      </c>
      <c r="Y66" s="57">
        <f t="shared" si="65"/>
        <v>0</v>
      </c>
      <c r="Z66" s="57">
        <f t="shared" si="65"/>
        <v>0</v>
      </c>
      <c r="AA66" s="57">
        <f t="shared" si="65"/>
        <v>0</v>
      </c>
      <c r="AB66" s="57">
        <f t="shared" si="65"/>
        <v>0</v>
      </c>
      <c r="AC66" s="58">
        <f>IF(EXACT(E65,"Y"),6,IF(EXACT(F65,"Y"),2,SUM(T66:AB66)))</f>
        <v>0</v>
      </c>
      <c r="AD66" s="40"/>
      <c r="AE66" s="2"/>
      <c r="AH66" s="2"/>
    </row>
    <row r="67" spans="1:35" ht="15" thickBot="1" x14ac:dyDescent="0.45">
      <c r="A67" s="53"/>
      <c r="B67" s="54"/>
      <c r="C67" s="54"/>
      <c r="D67" s="54"/>
      <c r="E67" s="54"/>
      <c r="F67" s="54"/>
      <c r="G67" s="59" t="s">
        <v>93</v>
      </c>
      <c r="H67" s="60">
        <f t="shared" ref="H67:P67" si="66">IF(OR(EXACT($E65,"Y"),(EXACT($F65,"Y"))),"-",H65-H66)</f>
        <v>-2</v>
      </c>
      <c r="I67" s="60">
        <f t="shared" si="66"/>
        <v>-2</v>
      </c>
      <c r="J67" s="60">
        <f t="shared" si="66"/>
        <v>-1</v>
      </c>
      <c r="K67" s="60">
        <f t="shared" si="66"/>
        <v>-1</v>
      </c>
      <c r="L67" s="60">
        <f t="shared" si="66"/>
        <v>-2</v>
      </c>
      <c r="M67" s="60">
        <f t="shared" si="66"/>
        <v>-1</v>
      </c>
      <c r="N67" s="60">
        <f t="shared" si="66"/>
        <v>-2</v>
      </c>
      <c r="O67" s="60">
        <f t="shared" si="66"/>
        <v>-1</v>
      </c>
      <c r="P67" s="60">
        <f t="shared" si="66"/>
        <v>-1</v>
      </c>
      <c r="Q67" s="61">
        <f>SUM(H67:P67)</f>
        <v>-13</v>
      </c>
      <c r="S67" s="62" t="str">
        <f>$A$12</f>
        <v>Front</v>
      </c>
      <c r="T67" s="42">
        <f t="shared" ref="T67:AB67" si="67">IF($A$12="Front",T$1,T$2)</f>
        <v>4</v>
      </c>
      <c r="U67" s="42">
        <f t="shared" si="67"/>
        <v>3</v>
      </c>
      <c r="V67" s="42">
        <f t="shared" si="67"/>
        <v>4</v>
      </c>
      <c r="W67" s="42">
        <f t="shared" si="67"/>
        <v>5</v>
      </c>
      <c r="X67" s="42">
        <f t="shared" si="67"/>
        <v>4</v>
      </c>
      <c r="Y67" s="42">
        <f t="shared" si="67"/>
        <v>3</v>
      </c>
      <c r="Z67" s="42">
        <f t="shared" si="67"/>
        <v>4</v>
      </c>
      <c r="AA67" s="42">
        <f t="shared" si="67"/>
        <v>5</v>
      </c>
      <c r="AB67" s="42">
        <f t="shared" si="67"/>
        <v>4</v>
      </c>
      <c r="AC67" s="55">
        <f>SUM(T67:AB67)</f>
        <v>36</v>
      </c>
      <c r="AD67" s="40"/>
      <c r="AE67" s="2"/>
      <c r="AH67" s="2"/>
    </row>
    <row r="68" spans="1:35" x14ac:dyDescent="0.4">
      <c r="A68" s="63" t="s">
        <v>74</v>
      </c>
      <c r="B68" s="57">
        <v>18</v>
      </c>
      <c r="C68" s="64">
        <v>35</v>
      </c>
      <c r="D68" s="47" t="str">
        <f>VLOOKUP($C68,[1]Summary!$A$4:$BL$39,4, FALSE)</f>
        <v>Barry Pavelik</v>
      </c>
      <c r="E68" s="64"/>
      <c r="F68" s="64"/>
      <c r="G68" s="57" t="s">
        <v>89</v>
      </c>
      <c r="H68" s="64"/>
      <c r="I68" s="64"/>
      <c r="J68" s="64"/>
      <c r="K68" s="64"/>
      <c r="L68" s="64"/>
      <c r="M68" s="64"/>
      <c r="N68" s="64"/>
      <c r="O68" s="64"/>
      <c r="P68" s="64"/>
      <c r="Q68" s="49">
        <f>SUM(H68:P68)</f>
        <v>0</v>
      </c>
      <c r="S68" s="65" t="s">
        <v>90</v>
      </c>
      <c r="T68" s="51">
        <f>IF(H68&gt;=T70+H69+2,SUM(T70+H69+2),H68)</f>
        <v>0</v>
      </c>
      <c r="U68" s="51">
        <f t="shared" ref="U68:AB68" si="68">IF(I68&gt;=U70+I69+2,SUM(U70+I69+2),I68)</f>
        <v>0</v>
      </c>
      <c r="V68" s="51">
        <f t="shared" si="68"/>
        <v>0</v>
      </c>
      <c r="W68" s="51">
        <f t="shared" si="68"/>
        <v>0</v>
      </c>
      <c r="X68" s="51">
        <f t="shared" si="68"/>
        <v>0</v>
      </c>
      <c r="Y68" s="51">
        <f t="shared" si="68"/>
        <v>0</v>
      </c>
      <c r="Z68" s="51">
        <f t="shared" si="68"/>
        <v>0</v>
      </c>
      <c r="AA68" s="51">
        <f t="shared" si="68"/>
        <v>0</v>
      </c>
      <c r="AB68" s="51">
        <f t="shared" si="68"/>
        <v>0</v>
      </c>
      <c r="AC68" s="61">
        <f>SUM(T68:AB68)</f>
        <v>0</v>
      </c>
      <c r="AD68" s="40"/>
      <c r="AE68" s="2"/>
      <c r="AH68" s="2"/>
    </row>
    <row r="69" spans="1:35" ht="15" thickBot="1" x14ac:dyDescent="0.45">
      <c r="A69" s="53"/>
      <c r="B69" s="54"/>
      <c r="C69" s="54"/>
      <c r="D69" s="54"/>
      <c r="E69" s="54"/>
      <c r="F69" s="54"/>
      <c r="G69" s="42" t="s">
        <v>91</v>
      </c>
      <c r="H69" s="42">
        <f>IF($A$68="Front",VLOOKUP($Q69,'[1]Handicap Chart'!$B$4:$K$40,2),VLOOKUP($Q69,'[1]Handicap Chart'!$B$4:$K$40,10))</f>
        <v>3</v>
      </c>
      <c r="I69" s="42">
        <f>IF($A$68="Front",VLOOKUP($Q69,'[1]Handicap Chart'!$B$4:$K$40,4),VLOOKUP($Q69,'[1]Handicap Chart'!$B$4:$K$40,3))</f>
        <v>3</v>
      </c>
      <c r="J69" s="42">
        <f>IF($A$68="Front",VLOOKUP($Q69,'[1]Handicap Chart'!$B$4:$K$40,8),VLOOKUP($Q69,'[1]Handicap Chart'!$B$4:$K$40,6))</f>
        <v>2</v>
      </c>
      <c r="K69" s="42">
        <f>IF($A$68="Front",VLOOKUP($Q69,'[1]Handicap Chart'!$B$4:$K$40,9),VLOOKUP($Q69,'[1]Handicap Chart'!$B$4:$K$40,5))</f>
        <v>2</v>
      </c>
      <c r="L69" s="42">
        <f>IF($A$68="Front",VLOOKUP($Q69,'[1]Handicap Chart'!$B$4:$K$40,5),VLOOKUP($Q69,'[1]Handicap Chart'!$B$4:$K$40,4))</f>
        <v>2</v>
      </c>
      <c r="M69" s="42">
        <f>IF($A$68="Front",VLOOKUP($Q69,'[1]Handicap Chart'!$B$4:$K$40,10),VLOOKUP($Q69,'[1]Handicap Chart'!$B$4:$K$40,9))</f>
        <v>2</v>
      </c>
      <c r="N69" s="42">
        <f>IF($A$68="Front",VLOOKUP($Q69,'[1]Handicap Chart'!$B$4:$K$40,3),VLOOKUP($Q69,'[1]Handicap Chart'!$B$4:$K$40,7))</f>
        <v>3</v>
      </c>
      <c r="O69" s="42">
        <f>IF($A$68="Front",VLOOKUP($Q69,'[1]Handicap Chart'!$B$4:$K$40,7),VLOOKUP($Q69,'[1]Handicap Chart'!$B$4:$K$40,8))</f>
        <v>2</v>
      </c>
      <c r="P69" s="42">
        <f>IF($A$68="Front",VLOOKUP($Q69,'[1]Handicap Chart'!$B$4:$K$40,6),VLOOKUP($Q69,'[1]Handicap Chart'!$B$4:$K$40,2))</f>
        <v>2</v>
      </c>
      <c r="Q69" s="55">
        <f>VLOOKUP($C68,[1]Summary!$A$4:$BL$39,47, FALSE)</f>
        <v>21</v>
      </c>
      <c r="S69" s="56" t="s">
        <v>92</v>
      </c>
      <c r="T69" s="57">
        <f t="shared" ref="T69:AB69" si="69">IF(OR(EXACT($E68,"Y"),(EXACT($F68,"Y"))),"-",IF(H70-T70&gt;1,-1,IF(H70-T70=0,1,IF(H70-T70=-1,3,IF(H70-T70=-2,4,IF(H70-T70=-3,5,0))))))</f>
        <v>0</v>
      </c>
      <c r="U69" s="57">
        <f t="shared" si="69"/>
        <v>0</v>
      </c>
      <c r="V69" s="57">
        <f t="shared" si="69"/>
        <v>0</v>
      </c>
      <c r="W69" s="57">
        <f t="shared" si="69"/>
        <v>0</v>
      </c>
      <c r="X69" s="57">
        <f t="shared" si="69"/>
        <v>0</v>
      </c>
      <c r="Y69" s="57">
        <f t="shared" si="69"/>
        <v>0</v>
      </c>
      <c r="Z69" s="57">
        <f t="shared" si="69"/>
        <v>0</v>
      </c>
      <c r="AA69" s="57">
        <f t="shared" si="69"/>
        <v>0</v>
      </c>
      <c r="AB69" s="57">
        <f t="shared" si="69"/>
        <v>0</v>
      </c>
      <c r="AC69" s="58">
        <f>IF(EXACT(E68,"Y"),6,IF(EXACT(F68,"Y"),2,SUM(T69:AB69)))</f>
        <v>0</v>
      </c>
      <c r="AD69" s="40"/>
      <c r="AE69" s="2"/>
      <c r="AH69" s="2"/>
    </row>
    <row r="70" spans="1:35" ht="15" thickBot="1" x14ac:dyDescent="0.45">
      <c r="A70" s="53"/>
      <c r="B70" s="54"/>
      <c r="C70" s="54"/>
      <c r="D70" s="54"/>
      <c r="E70" s="54"/>
      <c r="F70" s="54"/>
      <c r="G70" s="59" t="s">
        <v>93</v>
      </c>
      <c r="H70" s="60">
        <f t="shared" ref="H70:P70" si="70">IF(OR(EXACT($E68,"Y"),(EXACT($F68,"Y"))),"-",H68-H69)</f>
        <v>-3</v>
      </c>
      <c r="I70" s="60">
        <f t="shared" si="70"/>
        <v>-3</v>
      </c>
      <c r="J70" s="60">
        <f t="shared" si="70"/>
        <v>-2</v>
      </c>
      <c r="K70" s="60">
        <f t="shared" si="70"/>
        <v>-2</v>
      </c>
      <c r="L70" s="60">
        <f t="shared" si="70"/>
        <v>-2</v>
      </c>
      <c r="M70" s="60">
        <f t="shared" si="70"/>
        <v>-2</v>
      </c>
      <c r="N70" s="60">
        <f t="shared" si="70"/>
        <v>-3</v>
      </c>
      <c r="O70" s="60">
        <f t="shared" si="70"/>
        <v>-2</v>
      </c>
      <c r="P70" s="60">
        <f t="shared" si="70"/>
        <v>-2</v>
      </c>
      <c r="Q70" s="61">
        <f>SUM(H70:P70)</f>
        <v>-21</v>
      </c>
      <c r="S70" s="62" t="str">
        <f>$A$12</f>
        <v>Front</v>
      </c>
      <c r="T70" s="42">
        <f t="shared" ref="T70:AB70" si="71">IF($A$12="Front",T$1,T$2)</f>
        <v>4</v>
      </c>
      <c r="U70" s="42">
        <f t="shared" si="71"/>
        <v>3</v>
      </c>
      <c r="V70" s="42">
        <f t="shared" si="71"/>
        <v>4</v>
      </c>
      <c r="W70" s="42">
        <f t="shared" si="71"/>
        <v>5</v>
      </c>
      <c r="X70" s="42">
        <f t="shared" si="71"/>
        <v>4</v>
      </c>
      <c r="Y70" s="42">
        <f t="shared" si="71"/>
        <v>3</v>
      </c>
      <c r="Z70" s="42">
        <f t="shared" si="71"/>
        <v>4</v>
      </c>
      <c r="AA70" s="42">
        <f t="shared" si="71"/>
        <v>5</v>
      </c>
      <c r="AB70" s="42">
        <f t="shared" si="71"/>
        <v>4</v>
      </c>
      <c r="AC70" s="55">
        <f>SUM(T70:AB70)</f>
        <v>36</v>
      </c>
      <c r="AD70" s="40">
        <f>B65</f>
        <v>18</v>
      </c>
      <c r="AE70" s="80">
        <f>AC66+AC69</f>
        <v>0</v>
      </c>
      <c r="AF70" s="66">
        <f>IF(AC66&gt;=AC72,IF(AC66&gt;AC72,IF(AC69&gt;=AC75,IF(AC69&gt;AC75,4,3),2),IF(AC69&gt;=AC75,IF(AC69&gt;AC75,3,2),IF(AC69&gt;=AC75,IF(AC69&gt;AC75,2,1),1))),IF(AC69&gt;=AC75,IF(AC69&gt;AC75,2,1),0))</f>
        <v>2</v>
      </c>
      <c r="AG70" s="66">
        <f>IF(AE70&gt;AE76,4,IF(AE70=AE76,2,0))</f>
        <v>2</v>
      </c>
      <c r="AH70" s="67">
        <v>4</v>
      </c>
      <c r="AI70" s="67">
        <f>SUM(AF70:AH70)</f>
        <v>8</v>
      </c>
    </row>
    <row r="71" spans="1:35" x14ac:dyDescent="0.4">
      <c r="A71" s="63" t="s">
        <v>94</v>
      </c>
      <c r="B71" s="68">
        <v>11</v>
      </c>
      <c r="C71" s="69">
        <v>21</v>
      </c>
      <c r="D71" s="68" t="str">
        <f>VLOOKUP($C71,[1]Summary!$A$4:$BL$39,4, FALSE)</f>
        <v>Jack West</v>
      </c>
      <c r="E71" s="69"/>
      <c r="F71" s="69"/>
      <c r="G71" s="68" t="s">
        <v>89</v>
      </c>
      <c r="H71" s="69"/>
      <c r="I71" s="69"/>
      <c r="J71" s="69"/>
      <c r="K71" s="69"/>
      <c r="L71" s="69"/>
      <c r="M71" s="69"/>
      <c r="N71" s="69"/>
      <c r="O71" s="69"/>
      <c r="P71" s="69"/>
      <c r="Q71" s="70">
        <f>SUM(H71:P71)</f>
        <v>0</v>
      </c>
      <c r="S71" s="65" t="s">
        <v>90</v>
      </c>
      <c r="T71" s="51">
        <f t="shared" ref="T71:AB71" si="72">IF(H71&gt;=T73+H72+2,SUM(T73+H72+2),H71)</f>
        <v>0</v>
      </c>
      <c r="U71" s="51">
        <f t="shared" si="72"/>
        <v>0</v>
      </c>
      <c r="V71" s="51">
        <f t="shared" si="72"/>
        <v>0</v>
      </c>
      <c r="W71" s="51">
        <f t="shared" si="72"/>
        <v>0</v>
      </c>
      <c r="X71" s="51">
        <f t="shared" si="72"/>
        <v>0</v>
      </c>
      <c r="Y71" s="51">
        <f t="shared" si="72"/>
        <v>0</v>
      </c>
      <c r="Z71" s="51">
        <f t="shared" si="72"/>
        <v>0</v>
      </c>
      <c r="AA71" s="51">
        <f t="shared" si="72"/>
        <v>0</v>
      </c>
      <c r="AB71" s="51">
        <f t="shared" si="72"/>
        <v>0</v>
      </c>
      <c r="AC71" s="61">
        <f>SUM(T71:AB71)</f>
        <v>0</v>
      </c>
      <c r="AD71" s="40"/>
      <c r="AE71" s="2"/>
      <c r="AH71" s="2"/>
    </row>
    <row r="72" spans="1:35" x14ac:dyDescent="0.4">
      <c r="A72" s="53"/>
      <c r="B72" s="54"/>
      <c r="C72" s="54"/>
      <c r="D72" s="54"/>
      <c r="E72" s="54"/>
      <c r="F72" s="54"/>
      <c r="G72" s="42" t="s">
        <v>91</v>
      </c>
      <c r="H72" s="42">
        <f>IF($A$68="Front",VLOOKUP($Q72,'[1]Handicap Chart'!$B$4:$K$40,2),VLOOKUP($Q72,'[1]Handicap Chart'!$B$4:$K$40,10))</f>
        <v>2</v>
      </c>
      <c r="I72" s="42">
        <f>IF($A$68="Front",VLOOKUP($Q72,'[1]Handicap Chart'!$B$4:$K$40,4),VLOOKUP($Q72,'[1]Handicap Chart'!$B$4:$K$40,3))</f>
        <v>2</v>
      </c>
      <c r="J72" s="42">
        <f>IF($A$68="Front",VLOOKUP($Q72,'[1]Handicap Chart'!$B$4:$K$40,8),VLOOKUP($Q72,'[1]Handicap Chart'!$B$4:$K$40,6))</f>
        <v>1</v>
      </c>
      <c r="K72" s="42">
        <f>IF($A$68="Front",VLOOKUP($Q72,'[1]Handicap Chart'!$B$4:$K$40,9),VLOOKUP($Q72,'[1]Handicap Chart'!$B$4:$K$40,5))</f>
        <v>1</v>
      </c>
      <c r="L72" s="42">
        <f>IF($A$68="Front",VLOOKUP($Q72,'[1]Handicap Chart'!$B$4:$K$40,5),VLOOKUP($Q72,'[1]Handicap Chart'!$B$4:$K$40,4))</f>
        <v>1</v>
      </c>
      <c r="M72" s="42">
        <f>IF($A$68="Front",VLOOKUP($Q72,'[1]Handicap Chart'!$B$4:$K$40,10),VLOOKUP($Q72,'[1]Handicap Chart'!$B$4:$K$40,9))</f>
        <v>1</v>
      </c>
      <c r="N72" s="42">
        <f>IF($A$68="Front",VLOOKUP($Q72,'[1]Handicap Chart'!$B$4:$K$40,3),VLOOKUP($Q72,'[1]Handicap Chart'!$B$4:$K$40,7))</f>
        <v>2</v>
      </c>
      <c r="O72" s="42">
        <f>IF($A$68="Front",VLOOKUP($Q72,'[1]Handicap Chart'!$B$4:$K$40,7),VLOOKUP($Q72,'[1]Handicap Chart'!$B$4:$K$40,8))</f>
        <v>1</v>
      </c>
      <c r="P72" s="42">
        <f>IF($A$68="Front",VLOOKUP($Q72,'[1]Handicap Chart'!$B$4:$K$40,6),VLOOKUP($Q72,'[1]Handicap Chart'!$B$4:$K$40,2))</f>
        <v>1</v>
      </c>
      <c r="Q72" s="55">
        <f>VLOOKUP($C71,[1]Summary!$A$4:$BL$39,47, FALSE)</f>
        <v>12</v>
      </c>
      <c r="S72" s="71" t="s">
        <v>92</v>
      </c>
      <c r="T72" s="71">
        <f>IF(OR(EXACT($E71,"Y"),(EXACT($F71,"Y"))),"-",IF(H73-T73&gt;1,-1,IF(H73-T73=0,1,IF(H73-T73=-1,3,IF(H73-T73=-2,4,IF(H73-T73=-3,5,0))))))</f>
        <v>0</v>
      </c>
      <c r="U72" s="71">
        <f t="shared" ref="U72:AB72" si="73">IF(OR(EXACT($E71,"Y"),(EXACT($F71,"Y"))),"-",IF(I73-U73&gt;1,-1,IF(I73-U73=0,1,IF(I73-U73=-1,3,IF(I73-U73=-2,4,IF(I73-U73=-3,5,0))))))</f>
        <v>0</v>
      </c>
      <c r="V72" s="71">
        <f t="shared" si="73"/>
        <v>0</v>
      </c>
      <c r="W72" s="71">
        <f t="shared" si="73"/>
        <v>0</v>
      </c>
      <c r="X72" s="71">
        <f t="shared" si="73"/>
        <v>0</v>
      </c>
      <c r="Y72" s="71">
        <f t="shared" si="73"/>
        <v>0</v>
      </c>
      <c r="Z72" s="71">
        <f t="shared" si="73"/>
        <v>0</v>
      </c>
      <c r="AA72" s="71">
        <f t="shared" si="73"/>
        <v>0</v>
      </c>
      <c r="AB72" s="71">
        <f t="shared" si="73"/>
        <v>0</v>
      </c>
      <c r="AC72" s="70">
        <f>IF(EXACT(E71,"Y"),6,IF(EXACT(F71,"Y"),2,SUM(T72:AB72)))</f>
        <v>0</v>
      </c>
      <c r="AD72" s="40"/>
      <c r="AE72" s="2"/>
      <c r="AH72" s="2"/>
    </row>
    <row r="73" spans="1:35" x14ac:dyDescent="0.4">
      <c r="A73" s="53"/>
      <c r="B73" s="54"/>
      <c r="C73" s="54"/>
      <c r="D73" s="54"/>
      <c r="E73" s="54"/>
      <c r="F73" s="54"/>
      <c r="G73" s="59" t="s">
        <v>93</v>
      </c>
      <c r="H73" s="60">
        <f t="shared" ref="H73:P73" si="74">IF(OR(EXACT($E71,"Y"),(EXACT($F71,"Y"))),"-",H71-H72)</f>
        <v>-2</v>
      </c>
      <c r="I73" s="60">
        <f t="shared" si="74"/>
        <v>-2</v>
      </c>
      <c r="J73" s="60">
        <f t="shared" si="74"/>
        <v>-1</v>
      </c>
      <c r="K73" s="60">
        <f t="shared" si="74"/>
        <v>-1</v>
      </c>
      <c r="L73" s="60">
        <f t="shared" si="74"/>
        <v>-1</v>
      </c>
      <c r="M73" s="60">
        <f t="shared" si="74"/>
        <v>-1</v>
      </c>
      <c r="N73" s="60">
        <f t="shared" si="74"/>
        <v>-2</v>
      </c>
      <c r="O73" s="60">
        <f t="shared" si="74"/>
        <v>-1</v>
      </c>
      <c r="P73" s="60">
        <f t="shared" si="74"/>
        <v>-1</v>
      </c>
      <c r="Q73" s="61">
        <f>SUM(H73:P73)</f>
        <v>-12</v>
      </c>
      <c r="S73" s="62" t="str">
        <f>$A$12</f>
        <v>Front</v>
      </c>
      <c r="T73" s="42">
        <f t="shared" ref="T73:AB73" si="75">IF($A$12="Front",T$1,T$2)</f>
        <v>4</v>
      </c>
      <c r="U73" s="42">
        <f t="shared" si="75"/>
        <v>3</v>
      </c>
      <c r="V73" s="42">
        <f t="shared" si="75"/>
        <v>4</v>
      </c>
      <c r="W73" s="42">
        <f t="shared" si="75"/>
        <v>5</v>
      </c>
      <c r="X73" s="42">
        <f t="shared" si="75"/>
        <v>4</v>
      </c>
      <c r="Y73" s="42">
        <f t="shared" si="75"/>
        <v>3</v>
      </c>
      <c r="Z73" s="42">
        <f t="shared" si="75"/>
        <v>4</v>
      </c>
      <c r="AA73" s="42">
        <f t="shared" si="75"/>
        <v>5</v>
      </c>
      <c r="AB73" s="42">
        <f t="shared" si="75"/>
        <v>4</v>
      </c>
      <c r="AC73" s="55">
        <f>SUM(T73:AB73)</f>
        <v>36</v>
      </c>
      <c r="AD73" s="40"/>
      <c r="AE73" s="2"/>
      <c r="AH73" s="2"/>
    </row>
    <row r="74" spans="1:35" x14ac:dyDescent="0.4">
      <c r="A74" s="63" t="s">
        <v>99</v>
      </c>
      <c r="B74" s="68">
        <v>11</v>
      </c>
      <c r="C74" s="69">
        <v>22</v>
      </c>
      <c r="D74" s="68" t="str">
        <f>VLOOKUP($C74,[1]Summary!$A$4:$BL$39,4, FALSE)</f>
        <v>Ron Herman</v>
      </c>
      <c r="E74" s="69"/>
      <c r="F74" s="69"/>
      <c r="G74" s="68" t="s">
        <v>89</v>
      </c>
      <c r="H74" s="69"/>
      <c r="I74" s="69"/>
      <c r="J74" s="69"/>
      <c r="K74" s="69"/>
      <c r="L74" s="69"/>
      <c r="M74" s="69"/>
      <c r="N74" s="69"/>
      <c r="O74" s="69"/>
      <c r="P74" s="69"/>
      <c r="Q74" s="70">
        <f>SUM(H74:P74)</f>
        <v>0</v>
      </c>
      <c r="S74" s="65" t="s">
        <v>90</v>
      </c>
      <c r="T74" s="51">
        <f t="shared" ref="T74:AB74" si="76">IF(H74&gt;=T76+H75+2,SUM(T76+H75+2),H74)</f>
        <v>0</v>
      </c>
      <c r="U74" s="51">
        <f t="shared" si="76"/>
        <v>0</v>
      </c>
      <c r="V74" s="51">
        <f t="shared" si="76"/>
        <v>0</v>
      </c>
      <c r="W74" s="51">
        <f t="shared" si="76"/>
        <v>0</v>
      </c>
      <c r="X74" s="51">
        <f t="shared" si="76"/>
        <v>0</v>
      </c>
      <c r="Y74" s="51">
        <f t="shared" si="76"/>
        <v>0</v>
      </c>
      <c r="Z74" s="51">
        <f t="shared" si="76"/>
        <v>0</v>
      </c>
      <c r="AA74" s="51">
        <f t="shared" si="76"/>
        <v>0</v>
      </c>
      <c r="AB74" s="51">
        <f t="shared" si="76"/>
        <v>0</v>
      </c>
      <c r="AC74" s="61">
        <f>SUM(T74:AB74)</f>
        <v>0</v>
      </c>
      <c r="AD74" s="40"/>
      <c r="AE74" s="2"/>
      <c r="AH74" s="2"/>
    </row>
    <row r="75" spans="1:35" ht="15" thickBot="1" x14ac:dyDescent="0.45">
      <c r="A75" s="53"/>
      <c r="B75" s="54"/>
      <c r="C75" s="54"/>
      <c r="D75" s="54"/>
      <c r="E75" s="54"/>
      <c r="F75" s="54"/>
      <c r="G75" s="42" t="s">
        <v>91</v>
      </c>
      <c r="H75" s="42">
        <f>IF($A$68="Front",VLOOKUP($Q75,'[1]Handicap Chart'!$B$4:$K$40,2),VLOOKUP($Q75,'[1]Handicap Chart'!$B$4:$K$40,10))</f>
        <v>2</v>
      </c>
      <c r="I75" s="42">
        <f>IF($A$68="Front",VLOOKUP($Q75,'[1]Handicap Chart'!$B$4:$K$40,4),VLOOKUP($Q75,'[1]Handicap Chart'!$B$4:$K$40,3))</f>
        <v>2</v>
      </c>
      <c r="J75" s="42">
        <f>IF($A$68="Front",VLOOKUP($Q75,'[1]Handicap Chart'!$B$4:$K$40,8),VLOOKUP($Q75,'[1]Handicap Chart'!$B$4:$K$40,6))</f>
        <v>2</v>
      </c>
      <c r="K75" s="42">
        <f>IF($A$68="Front",VLOOKUP($Q75,'[1]Handicap Chart'!$B$4:$K$40,9),VLOOKUP($Q75,'[1]Handicap Chart'!$B$4:$K$40,5))</f>
        <v>2</v>
      </c>
      <c r="L75" s="42">
        <f>IF($A$68="Front",VLOOKUP($Q75,'[1]Handicap Chart'!$B$4:$K$40,5),VLOOKUP($Q75,'[1]Handicap Chart'!$B$4:$K$40,4))</f>
        <v>2</v>
      </c>
      <c r="M75" s="42">
        <f>IF($A$68="Front",VLOOKUP($Q75,'[1]Handicap Chart'!$B$4:$K$40,10),VLOOKUP($Q75,'[1]Handicap Chart'!$B$4:$K$40,9))</f>
        <v>1</v>
      </c>
      <c r="N75" s="42">
        <f>IF($A$68="Front",VLOOKUP($Q75,'[1]Handicap Chart'!$B$4:$K$40,3),VLOOKUP($Q75,'[1]Handicap Chart'!$B$4:$K$40,7))</f>
        <v>2</v>
      </c>
      <c r="O75" s="42">
        <f>IF($A$68="Front",VLOOKUP($Q75,'[1]Handicap Chart'!$B$4:$K$40,7),VLOOKUP($Q75,'[1]Handicap Chart'!$B$4:$K$40,8))</f>
        <v>2</v>
      </c>
      <c r="P75" s="42">
        <f>IF($A$68="Front",VLOOKUP($Q75,'[1]Handicap Chart'!$B$4:$K$40,6),VLOOKUP($Q75,'[1]Handicap Chart'!$B$4:$K$40,2))</f>
        <v>2</v>
      </c>
      <c r="Q75" s="55">
        <f>VLOOKUP($C74,[1]Summary!$A$4:$BL$39,47, FALSE)</f>
        <v>17</v>
      </c>
      <c r="S75" s="71" t="s">
        <v>92</v>
      </c>
      <c r="T75" s="71">
        <f>IF(OR(EXACT($E74,"Y"),(EXACT($F74,"Y"))),"-",IF(H76-T76&gt;1,-1,IF(H76-T76=0,1,IF(H76-T76=-1,3,IF(H76-T76=-2,4,IF(H76-T76=-3,5,0))))))</f>
        <v>0</v>
      </c>
      <c r="U75" s="71">
        <f t="shared" ref="U75:AB75" si="77">IF(OR(EXACT($E74,"Y"),(EXACT($F74,"Y"))),"-",IF(I76-U76&gt;1,-1,IF(I76-U76=0,1,IF(I76-U76=-1,3,IF(I76-U76=-2,4,IF(I76-U76=-3,5,0))))))</f>
        <v>0</v>
      </c>
      <c r="V75" s="71">
        <f t="shared" si="77"/>
        <v>0</v>
      </c>
      <c r="W75" s="71">
        <f t="shared" si="77"/>
        <v>0</v>
      </c>
      <c r="X75" s="71">
        <f t="shared" si="77"/>
        <v>0</v>
      </c>
      <c r="Y75" s="71">
        <f t="shared" si="77"/>
        <v>0</v>
      </c>
      <c r="Z75" s="71">
        <f t="shared" si="77"/>
        <v>0</v>
      </c>
      <c r="AA75" s="71">
        <f t="shared" si="77"/>
        <v>0</v>
      </c>
      <c r="AB75" s="71">
        <f t="shared" si="77"/>
        <v>0</v>
      </c>
      <c r="AC75" s="70">
        <f>IF(EXACT(E74,"Y"),6,IF(EXACT(F74,"Y"),2,SUM(T75:AB75)))</f>
        <v>0</v>
      </c>
      <c r="AD75" s="40"/>
      <c r="AE75" s="2"/>
      <c r="AH75" s="2"/>
    </row>
    <row r="76" spans="1:35" ht="15" thickBot="1" x14ac:dyDescent="0.45">
      <c r="A76" s="72"/>
      <c r="B76" s="73"/>
      <c r="C76" s="73"/>
      <c r="D76" s="73"/>
      <c r="E76" s="73"/>
      <c r="F76" s="73"/>
      <c r="G76" s="74" t="s">
        <v>93</v>
      </c>
      <c r="H76" s="60">
        <f t="shared" ref="H76:P76" si="78">IF(OR(EXACT($E74,"Y"),(EXACT($F74,"Y"))),"-",H74-H75)</f>
        <v>-2</v>
      </c>
      <c r="I76" s="60">
        <f t="shared" si="78"/>
        <v>-2</v>
      </c>
      <c r="J76" s="60">
        <f t="shared" si="78"/>
        <v>-2</v>
      </c>
      <c r="K76" s="60">
        <f t="shared" si="78"/>
        <v>-2</v>
      </c>
      <c r="L76" s="60">
        <f t="shared" si="78"/>
        <v>-2</v>
      </c>
      <c r="M76" s="60">
        <f t="shared" si="78"/>
        <v>-1</v>
      </c>
      <c r="N76" s="60">
        <f t="shared" si="78"/>
        <v>-2</v>
      </c>
      <c r="O76" s="60">
        <f t="shared" si="78"/>
        <v>-2</v>
      </c>
      <c r="P76" s="60">
        <f t="shared" si="78"/>
        <v>-2</v>
      </c>
      <c r="Q76" s="75">
        <f>SUM(H76:P76)</f>
        <v>-17</v>
      </c>
      <c r="S76" s="27" t="str">
        <f>$A$12</f>
        <v>Front</v>
      </c>
      <c r="T76" s="76">
        <f t="shared" ref="T76:AB76" si="79">IF($A$12="Front",T$1,T$2)</f>
        <v>4</v>
      </c>
      <c r="U76" s="76">
        <f t="shared" si="79"/>
        <v>3</v>
      </c>
      <c r="V76" s="76">
        <f t="shared" si="79"/>
        <v>4</v>
      </c>
      <c r="W76" s="76">
        <f t="shared" si="79"/>
        <v>5</v>
      </c>
      <c r="X76" s="76">
        <f t="shared" si="79"/>
        <v>4</v>
      </c>
      <c r="Y76" s="76">
        <f t="shared" si="79"/>
        <v>3</v>
      </c>
      <c r="Z76" s="76">
        <f t="shared" si="79"/>
        <v>4</v>
      </c>
      <c r="AA76" s="76">
        <f t="shared" si="79"/>
        <v>5</v>
      </c>
      <c r="AB76" s="76">
        <f t="shared" si="79"/>
        <v>4</v>
      </c>
      <c r="AC76" s="77">
        <f>SUM(T76:AB76)</f>
        <v>36</v>
      </c>
      <c r="AD76" s="40">
        <f>B71</f>
        <v>11</v>
      </c>
      <c r="AE76" s="78">
        <f>AC72+AC75</f>
        <v>0</v>
      </c>
      <c r="AF76" s="78">
        <f>IF(AC72&gt;=AC66,IF(AC72&gt;AC66,IF(AC75&gt;=AC69,IF(AC75&gt;AC69,4,3),2),IF(AC75&gt;=AC69,IF(AC75&gt;AC69,3,2),IF(AC75&gt;=AC69,IF(AC75&gt;AC69,2,1),1))),IF(AC75&gt;=AC69,IF(AC75&gt;AC69,2,1),0))</f>
        <v>2</v>
      </c>
      <c r="AG76" s="78">
        <f>IF(AE76&gt;AE70,4,IF(AE76=AE70,2,0))</f>
        <v>2</v>
      </c>
      <c r="AH76" s="79">
        <v>4</v>
      </c>
      <c r="AI76" s="79">
        <f>SUM(AF76:AH76)</f>
        <v>8</v>
      </c>
    </row>
    <row r="77" spans="1:35" ht="15" thickBo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40"/>
      <c r="AE77" s="2"/>
      <c r="AH77" s="2"/>
    </row>
    <row r="78" spans="1:35" ht="15" thickBot="1" x14ac:dyDescent="0.45">
      <c r="A78" s="42" t="s">
        <v>82</v>
      </c>
      <c r="B78" s="42" t="s">
        <v>0</v>
      </c>
      <c r="C78" s="42" t="s">
        <v>6</v>
      </c>
      <c r="D78" s="42" t="s">
        <v>84</v>
      </c>
      <c r="E78" s="42" t="s">
        <v>85</v>
      </c>
      <c r="F78" s="42" t="s">
        <v>86</v>
      </c>
      <c r="G78" s="42"/>
      <c r="H78" s="42">
        <v>1</v>
      </c>
      <c r="I78" s="42">
        <v>2</v>
      </c>
      <c r="J78" s="42">
        <v>3</v>
      </c>
      <c r="K78" s="42">
        <v>4</v>
      </c>
      <c r="L78" s="42">
        <v>5</v>
      </c>
      <c r="M78" s="42">
        <v>6</v>
      </c>
      <c r="N78" s="42">
        <v>7</v>
      </c>
      <c r="O78" s="42">
        <v>8</v>
      </c>
      <c r="P78" s="42">
        <v>9</v>
      </c>
      <c r="Q78" s="42" t="s">
        <v>87</v>
      </c>
      <c r="S78" s="43" t="s">
        <v>88</v>
      </c>
      <c r="T78" s="44">
        <v>1</v>
      </c>
      <c r="U78" s="44">
        <v>2</v>
      </c>
      <c r="V78" s="44">
        <v>3</v>
      </c>
      <c r="W78" s="44">
        <v>4</v>
      </c>
      <c r="X78" s="44">
        <v>5</v>
      </c>
      <c r="Y78" s="44">
        <v>6</v>
      </c>
      <c r="Z78" s="44">
        <v>7</v>
      </c>
      <c r="AA78" s="44">
        <v>8</v>
      </c>
      <c r="AB78" s="44">
        <v>9</v>
      </c>
      <c r="AC78" s="45" t="s">
        <v>4</v>
      </c>
      <c r="AD78" s="40"/>
      <c r="AE78" s="2"/>
      <c r="AH78" s="2"/>
    </row>
    <row r="79" spans="1:35" x14ac:dyDescent="0.4">
      <c r="A79" s="46">
        <v>6</v>
      </c>
      <c r="B79" s="47">
        <v>16</v>
      </c>
      <c r="C79" s="48">
        <v>31</v>
      </c>
      <c r="D79" s="47" t="str">
        <f>VLOOKUP($C79,[1]Summary!$A$4:$BL$39,4, FALSE)</f>
        <v>Rhonda Lukas</v>
      </c>
      <c r="E79" s="48"/>
      <c r="F79" s="48"/>
      <c r="G79" s="47" t="s">
        <v>89</v>
      </c>
      <c r="H79" s="48"/>
      <c r="I79" s="48"/>
      <c r="J79" s="48"/>
      <c r="K79" s="48"/>
      <c r="L79" s="48"/>
      <c r="M79" s="48"/>
      <c r="N79" s="48"/>
      <c r="O79" s="48"/>
      <c r="P79" s="48"/>
      <c r="Q79" s="49">
        <f>SUM(H79:P79)</f>
        <v>0</v>
      </c>
      <c r="S79" s="50" t="s">
        <v>90</v>
      </c>
      <c r="T79" s="51">
        <f t="shared" ref="T79:AB79" si="80">IF(H79&gt;=T81+H80+2,SUM(T81+H80+2),H79)</f>
        <v>0</v>
      </c>
      <c r="U79" s="51">
        <f t="shared" si="80"/>
        <v>0</v>
      </c>
      <c r="V79" s="51">
        <f t="shared" si="80"/>
        <v>0</v>
      </c>
      <c r="W79" s="51">
        <f t="shared" si="80"/>
        <v>0</v>
      </c>
      <c r="X79" s="51">
        <f t="shared" si="80"/>
        <v>0</v>
      </c>
      <c r="Y79" s="51">
        <f t="shared" si="80"/>
        <v>0</v>
      </c>
      <c r="Z79" s="51">
        <f t="shared" si="80"/>
        <v>0</v>
      </c>
      <c r="AA79" s="51">
        <f t="shared" si="80"/>
        <v>0</v>
      </c>
      <c r="AB79" s="51">
        <f t="shared" si="80"/>
        <v>0</v>
      </c>
      <c r="AC79" s="52">
        <f>SUM(T79:AB79)</f>
        <v>0</v>
      </c>
      <c r="AD79" s="40"/>
      <c r="AE79" s="2"/>
      <c r="AH79" s="2"/>
    </row>
    <row r="80" spans="1:35" x14ac:dyDescent="0.4">
      <c r="A80" s="53"/>
      <c r="B80" s="54"/>
      <c r="C80" s="54"/>
      <c r="D80" s="54"/>
      <c r="E80" s="54"/>
      <c r="F80" s="54"/>
      <c r="G80" s="42" t="s">
        <v>91</v>
      </c>
      <c r="H80" s="42">
        <f>IF($A$82="Front",VLOOKUP($Q80,'[1]Handicap Chart'!$B$4:$K$40,2),VLOOKUP($Q80,'[1]Handicap Chart'!$B$4:$K$40,10))</f>
        <v>1</v>
      </c>
      <c r="I80" s="42">
        <f>IF($A$82="Front",VLOOKUP($Q80,'[1]Handicap Chart'!$B$4:$K$40,4),VLOOKUP($Q80,'[1]Handicap Chart'!$B$4:$K$40,3))</f>
        <v>1</v>
      </c>
      <c r="J80" s="42">
        <f>IF($A$82="Front",VLOOKUP($Q80,'[1]Handicap Chart'!$B$4:$K$40,8),VLOOKUP($Q80,'[1]Handicap Chart'!$B$4:$K$40,6))</f>
        <v>1</v>
      </c>
      <c r="K80" s="42">
        <f>IF($A$82="Front",VLOOKUP($Q80,'[1]Handicap Chart'!$B$4:$K$40,9),VLOOKUP($Q80,'[1]Handicap Chart'!$B$4:$K$40,5))</f>
        <v>1</v>
      </c>
      <c r="L80" s="42">
        <f>IF($A$82="Front",VLOOKUP($Q80,'[1]Handicap Chart'!$B$4:$K$40,5),VLOOKUP($Q80,'[1]Handicap Chart'!$B$4:$K$40,4))</f>
        <v>1</v>
      </c>
      <c r="M80" s="42">
        <f>IF($A$82="Front",VLOOKUP($Q80,'[1]Handicap Chart'!$B$4:$K$40,10),VLOOKUP($Q80,'[1]Handicap Chart'!$B$4:$K$40,9))</f>
        <v>1</v>
      </c>
      <c r="N80" s="42">
        <f>IF($A$82="Front",VLOOKUP($Q80,'[1]Handicap Chart'!$B$4:$K$40,3),VLOOKUP($Q80,'[1]Handicap Chart'!$B$4:$K$40,7))</f>
        <v>1</v>
      </c>
      <c r="O80" s="42">
        <f>IF($A$82="Front",VLOOKUP($Q80,'[1]Handicap Chart'!$B$4:$K$40,7),VLOOKUP($Q80,'[1]Handicap Chart'!$B$4:$K$40,8))</f>
        <v>1</v>
      </c>
      <c r="P80" s="42">
        <f>IF($A$82="Front",VLOOKUP($Q80,'[1]Handicap Chart'!$B$4:$K$40,6),VLOOKUP($Q80,'[1]Handicap Chart'!$B$4:$K$40,2))</f>
        <v>1</v>
      </c>
      <c r="Q80" s="55">
        <f>VLOOKUP($C79,[1]Summary!$A$4:$BL$39,47, FALSE)</f>
        <v>9</v>
      </c>
      <c r="S80" s="56" t="s">
        <v>92</v>
      </c>
      <c r="T80" s="57">
        <f t="shared" ref="T80:AB80" si="81">IF(OR(EXACT($E79,"Y"),(EXACT($F79,"Y"))),"-",IF(H81-T81&gt;1,-1,IF(H81-T81=0,1,IF(H81-T81=-1,3,IF(H81-T81=-2,4,IF(H81-T81=-3,5,0))))))</f>
        <v>0</v>
      </c>
      <c r="U80" s="57">
        <f t="shared" si="81"/>
        <v>0</v>
      </c>
      <c r="V80" s="57">
        <f t="shared" si="81"/>
        <v>0</v>
      </c>
      <c r="W80" s="57">
        <f t="shared" si="81"/>
        <v>0</v>
      </c>
      <c r="X80" s="57">
        <f t="shared" si="81"/>
        <v>0</v>
      </c>
      <c r="Y80" s="57">
        <f t="shared" si="81"/>
        <v>0</v>
      </c>
      <c r="Z80" s="57">
        <f t="shared" si="81"/>
        <v>0</v>
      </c>
      <c r="AA80" s="57">
        <f t="shared" si="81"/>
        <v>0</v>
      </c>
      <c r="AB80" s="57">
        <f t="shared" si="81"/>
        <v>0</v>
      </c>
      <c r="AC80" s="58">
        <f>IF(EXACT(E79,"Y"),6,IF(EXACT(F79,"Y"),2,SUM(T80:AB80)))</f>
        <v>0</v>
      </c>
      <c r="AD80" s="40"/>
      <c r="AE80" s="2"/>
      <c r="AH80" s="2"/>
    </row>
    <row r="81" spans="1:35" ht="15" thickBot="1" x14ac:dyDescent="0.45">
      <c r="A81" s="53"/>
      <c r="B81" s="54"/>
      <c r="C81" s="54"/>
      <c r="D81" s="54"/>
      <c r="E81" s="54"/>
      <c r="F81" s="54"/>
      <c r="G81" s="59" t="s">
        <v>93</v>
      </c>
      <c r="H81" s="60">
        <f t="shared" ref="H81:P81" si="82">IF(OR(EXACT($E79,"Y"),(EXACT($F79,"Y"))),"-",H79-H80)</f>
        <v>-1</v>
      </c>
      <c r="I81" s="60">
        <f t="shared" si="82"/>
        <v>-1</v>
      </c>
      <c r="J81" s="60">
        <f t="shared" si="82"/>
        <v>-1</v>
      </c>
      <c r="K81" s="60">
        <f t="shared" si="82"/>
        <v>-1</v>
      </c>
      <c r="L81" s="60">
        <f t="shared" si="82"/>
        <v>-1</v>
      </c>
      <c r="M81" s="60">
        <f t="shared" si="82"/>
        <v>-1</v>
      </c>
      <c r="N81" s="60">
        <f t="shared" si="82"/>
        <v>-1</v>
      </c>
      <c r="O81" s="60">
        <f t="shared" si="82"/>
        <v>-1</v>
      </c>
      <c r="P81" s="60">
        <f t="shared" si="82"/>
        <v>-1</v>
      </c>
      <c r="Q81" s="61">
        <f>SUM(H81:P81)</f>
        <v>-9</v>
      </c>
      <c r="S81" s="62" t="str">
        <f>$A$12</f>
        <v>Front</v>
      </c>
      <c r="T81" s="42">
        <f t="shared" ref="T81:AB81" si="83">IF($A$12="Front",T$1,T$2)</f>
        <v>4</v>
      </c>
      <c r="U81" s="42">
        <f t="shared" si="83"/>
        <v>3</v>
      </c>
      <c r="V81" s="42">
        <f t="shared" si="83"/>
        <v>4</v>
      </c>
      <c r="W81" s="42">
        <f t="shared" si="83"/>
        <v>5</v>
      </c>
      <c r="X81" s="42">
        <f t="shared" si="83"/>
        <v>4</v>
      </c>
      <c r="Y81" s="42">
        <f t="shared" si="83"/>
        <v>3</v>
      </c>
      <c r="Z81" s="42">
        <f t="shared" si="83"/>
        <v>4</v>
      </c>
      <c r="AA81" s="42">
        <f t="shared" si="83"/>
        <v>5</v>
      </c>
      <c r="AB81" s="42">
        <f t="shared" si="83"/>
        <v>4</v>
      </c>
      <c r="AC81" s="55">
        <f>SUM(T81:AB81)</f>
        <v>36</v>
      </c>
      <c r="AD81" s="40"/>
      <c r="AE81" s="2"/>
      <c r="AH81" s="2"/>
    </row>
    <row r="82" spans="1:35" x14ac:dyDescent="0.4">
      <c r="A82" s="63" t="s">
        <v>74</v>
      </c>
      <c r="B82" s="57">
        <v>16</v>
      </c>
      <c r="C82" s="64">
        <v>32</v>
      </c>
      <c r="D82" s="47" t="str">
        <f>VLOOKUP($C82,[1]Summary!$A$4:$BL$39,4, FALSE)</f>
        <v>Carol Blizard</v>
      </c>
      <c r="E82" s="64"/>
      <c r="F82" s="64"/>
      <c r="G82" s="57" t="s">
        <v>89</v>
      </c>
      <c r="H82" s="64"/>
      <c r="I82" s="64"/>
      <c r="J82" s="64"/>
      <c r="K82" s="64"/>
      <c r="L82" s="64"/>
      <c r="M82" s="64"/>
      <c r="N82" s="64"/>
      <c r="O82" s="64"/>
      <c r="P82" s="64"/>
      <c r="Q82" s="49">
        <f>SUM(H82:P82)</f>
        <v>0</v>
      </c>
      <c r="S82" s="65" t="s">
        <v>90</v>
      </c>
      <c r="T82" s="51">
        <f>IF(H82&gt;=T84+H83+2,SUM(T84+H83+2),H82)</f>
        <v>0</v>
      </c>
      <c r="U82" s="51">
        <f t="shared" ref="U82:AB82" si="84">IF(I82&gt;=U84+I83+2,SUM(U84+I83+2),I82)</f>
        <v>0</v>
      </c>
      <c r="V82" s="51">
        <f t="shared" si="84"/>
        <v>0</v>
      </c>
      <c r="W82" s="51">
        <f t="shared" si="84"/>
        <v>0</v>
      </c>
      <c r="X82" s="51">
        <f t="shared" si="84"/>
        <v>0</v>
      </c>
      <c r="Y82" s="51">
        <f t="shared" si="84"/>
        <v>0</v>
      </c>
      <c r="Z82" s="51">
        <f t="shared" si="84"/>
        <v>0</v>
      </c>
      <c r="AA82" s="51">
        <f t="shared" si="84"/>
        <v>0</v>
      </c>
      <c r="AB82" s="51">
        <f t="shared" si="84"/>
        <v>0</v>
      </c>
      <c r="AC82" s="61">
        <f>SUM(T82:AB82)</f>
        <v>0</v>
      </c>
      <c r="AD82" s="40"/>
      <c r="AE82" s="2"/>
      <c r="AH82" s="2"/>
    </row>
    <row r="83" spans="1:35" ht="15" thickBot="1" x14ac:dyDescent="0.45">
      <c r="A83" s="53"/>
      <c r="B83" s="54"/>
      <c r="C83" s="54"/>
      <c r="D83" s="54"/>
      <c r="E83" s="54"/>
      <c r="F83" s="54"/>
      <c r="G83" s="42" t="s">
        <v>91</v>
      </c>
      <c r="H83" s="42">
        <f>IF($A$82="Front",VLOOKUP($Q83,'[1]Handicap Chart'!$B$4:$K$40,2),VLOOKUP($Q83,'[1]Handicap Chart'!$B$4:$K$40,10))</f>
        <v>4</v>
      </c>
      <c r="I83" s="81">
        <f>IF($A$82="Front",VLOOKUP($Q83,'[1]Handicap Chart'!$B$4:$K$40,4),VLOOKUP($Q83,'[1]Handicap Chart'!$B$4:$K$40,3))</f>
        <v>4</v>
      </c>
      <c r="J83" s="42">
        <f>IF($A$82="Front",VLOOKUP($Q83,'[1]Handicap Chart'!$B$4:$K$40,8),VLOOKUP($Q83,'[1]Handicap Chart'!$B$4:$K$40,6))</f>
        <v>3</v>
      </c>
      <c r="K83" s="42">
        <f>IF($A$82="Front",VLOOKUP($Q83,'[1]Handicap Chart'!$B$4:$K$40,9),VLOOKUP($Q83,'[1]Handicap Chart'!$B$4:$K$40,5))</f>
        <v>3</v>
      </c>
      <c r="L83" s="42">
        <f>IF($A$82="Front",VLOOKUP($Q83,'[1]Handicap Chart'!$B$4:$K$40,5),VLOOKUP($Q83,'[1]Handicap Chart'!$B$4:$K$40,4))</f>
        <v>3</v>
      </c>
      <c r="M83" s="42">
        <f>IF($A$82="Front",VLOOKUP($Q83,'[1]Handicap Chart'!$B$4:$K$40,10),VLOOKUP($Q83,'[1]Handicap Chart'!$B$4:$K$40,9))</f>
        <v>3</v>
      </c>
      <c r="N83" s="42">
        <f>IF($A$82="Front",VLOOKUP($Q83,'[1]Handicap Chart'!$B$4:$K$40,3),VLOOKUP($Q83,'[1]Handicap Chart'!$B$4:$K$40,7))</f>
        <v>4</v>
      </c>
      <c r="O83" s="42">
        <f>IF($A$82="Front",VLOOKUP($Q83,'[1]Handicap Chart'!$B$4:$K$40,7),VLOOKUP($Q83,'[1]Handicap Chart'!$B$4:$K$40,8))</f>
        <v>3</v>
      </c>
      <c r="P83" s="42">
        <f>IF($A$82="Front",VLOOKUP($Q83,'[1]Handicap Chart'!$B$4:$K$40,6),VLOOKUP($Q83,'[1]Handicap Chart'!$B$4:$K$40,2))</f>
        <v>3</v>
      </c>
      <c r="Q83" s="55">
        <f>VLOOKUP($C82,[1]Summary!$A$4:$BL$39,47, FALSE)</f>
        <v>32</v>
      </c>
      <c r="S83" s="56" t="s">
        <v>92</v>
      </c>
      <c r="T83" s="57">
        <f t="shared" ref="T83:AB83" si="85">IF(OR(EXACT($E82,"Y"),(EXACT($F82,"Y"))),"-",IF(H84-T84&gt;1,-1,IF(H84-T84=0,1,IF(H84-T84=-1,3,IF(H84-T84=-2,4,IF(H84-T84=-3,5,0))))))</f>
        <v>0</v>
      </c>
      <c r="U83" s="57">
        <f t="shared" si="85"/>
        <v>0</v>
      </c>
      <c r="V83" s="57">
        <f t="shared" si="85"/>
        <v>0</v>
      </c>
      <c r="W83" s="57">
        <f t="shared" si="85"/>
        <v>0</v>
      </c>
      <c r="X83" s="57">
        <f t="shared" si="85"/>
        <v>0</v>
      </c>
      <c r="Y83" s="57">
        <f t="shared" si="85"/>
        <v>0</v>
      </c>
      <c r="Z83" s="57">
        <f t="shared" si="85"/>
        <v>0</v>
      </c>
      <c r="AA83" s="57">
        <f t="shared" si="85"/>
        <v>0</v>
      </c>
      <c r="AB83" s="57">
        <f t="shared" si="85"/>
        <v>0</v>
      </c>
      <c r="AC83" s="58">
        <f>IF(EXACT(E82,"Y"),6,IF(EXACT(F82,"Y"),2,SUM(T83:AB83)))</f>
        <v>0</v>
      </c>
      <c r="AD83" s="40"/>
      <c r="AE83" s="2"/>
      <c r="AH83" s="2"/>
    </row>
    <row r="84" spans="1:35" ht="15" thickBot="1" x14ac:dyDescent="0.45">
      <c r="A84" s="53"/>
      <c r="B84" s="54"/>
      <c r="C84" s="54"/>
      <c r="D84" s="54"/>
      <c r="E84" s="54"/>
      <c r="F84" s="54"/>
      <c r="G84" s="59" t="s">
        <v>93</v>
      </c>
      <c r="H84" s="60">
        <f t="shared" ref="H84:P84" si="86">IF(OR(EXACT($E82,"Y"),(EXACT($F82,"Y"))),"-",H82-H83)</f>
        <v>-4</v>
      </c>
      <c r="I84" s="60">
        <f t="shared" si="86"/>
        <v>-4</v>
      </c>
      <c r="J84" s="60">
        <f t="shared" si="86"/>
        <v>-3</v>
      </c>
      <c r="K84" s="60">
        <f t="shared" si="86"/>
        <v>-3</v>
      </c>
      <c r="L84" s="60">
        <f t="shared" si="86"/>
        <v>-3</v>
      </c>
      <c r="M84" s="60">
        <f t="shared" si="86"/>
        <v>-3</v>
      </c>
      <c r="N84" s="60">
        <f t="shared" si="86"/>
        <v>-4</v>
      </c>
      <c r="O84" s="60">
        <f t="shared" si="86"/>
        <v>-3</v>
      </c>
      <c r="P84" s="60">
        <f t="shared" si="86"/>
        <v>-3</v>
      </c>
      <c r="Q84" s="61">
        <f>SUM(H84:P84)</f>
        <v>-30</v>
      </c>
      <c r="S84" s="62" t="str">
        <f>$A$12</f>
        <v>Front</v>
      </c>
      <c r="T84" s="42">
        <f t="shared" ref="T84:AB84" si="87">IF($A$12="Front",T$1,T$2)</f>
        <v>4</v>
      </c>
      <c r="U84" s="42">
        <f t="shared" si="87"/>
        <v>3</v>
      </c>
      <c r="V84" s="42">
        <f t="shared" si="87"/>
        <v>4</v>
      </c>
      <c r="W84" s="42">
        <f t="shared" si="87"/>
        <v>5</v>
      </c>
      <c r="X84" s="42">
        <f t="shared" si="87"/>
        <v>4</v>
      </c>
      <c r="Y84" s="42">
        <f t="shared" si="87"/>
        <v>3</v>
      </c>
      <c r="Z84" s="42">
        <f t="shared" si="87"/>
        <v>4</v>
      </c>
      <c r="AA84" s="42">
        <f t="shared" si="87"/>
        <v>5</v>
      </c>
      <c r="AB84" s="42">
        <f t="shared" si="87"/>
        <v>4</v>
      </c>
      <c r="AC84" s="55">
        <f>SUM(T84:AB84)</f>
        <v>36</v>
      </c>
      <c r="AD84" s="40">
        <f>B79</f>
        <v>16</v>
      </c>
      <c r="AE84" s="80">
        <f>AC80+AC83</f>
        <v>0</v>
      </c>
      <c r="AF84" s="66">
        <f>IF(AC80&gt;=AC86,IF(AC80&gt;AC86,IF(AC83&gt;=AC89,IF(AC83&gt;AC89,4,3),2),IF(AC83&gt;=AC89,IF(AC83&gt;AC89,3,2),IF(AC83&gt;=AC89,IF(AC83&gt;AC89,2,1),1))),IF(AC83&gt;=AC89,IF(AC83&gt;AC89,2,1),0))</f>
        <v>1</v>
      </c>
      <c r="AG84" s="66">
        <f>IF(AE84&gt;AE90,4,IF(AE84=AE90,2,0))</f>
        <v>0</v>
      </c>
      <c r="AH84" s="67">
        <v>0</v>
      </c>
      <c r="AI84" s="67">
        <f>SUM(AF84:AH84)</f>
        <v>1</v>
      </c>
    </row>
    <row r="85" spans="1:35" x14ac:dyDescent="0.4">
      <c r="A85" s="63" t="s">
        <v>94</v>
      </c>
      <c r="B85" s="68">
        <v>14</v>
      </c>
      <c r="C85" s="69">
        <v>28</v>
      </c>
      <c r="D85" s="68" t="str">
        <f>VLOOKUP($C85,[1]Summary!$A$4:$BL$39,4, FALSE)</f>
        <v>Scott Lightbody</v>
      </c>
      <c r="E85" s="69"/>
      <c r="F85" s="69"/>
      <c r="G85" s="68" t="s">
        <v>89</v>
      </c>
      <c r="H85" s="69"/>
      <c r="I85" s="69"/>
      <c r="J85" s="69"/>
      <c r="K85" s="69"/>
      <c r="L85" s="69"/>
      <c r="M85" s="69"/>
      <c r="N85" s="69"/>
      <c r="O85" s="69"/>
      <c r="P85" s="69"/>
      <c r="Q85" s="70">
        <f>SUM(H85:P85)</f>
        <v>0</v>
      </c>
      <c r="S85" s="65" t="s">
        <v>90</v>
      </c>
      <c r="T85" s="51">
        <f t="shared" ref="T85:AB85" si="88">IF(H85&gt;=T87+H86+2,SUM(T87+H86+2),H85)</f>
        <v>0</v>
      </c>
      <c r="U85" s="51">
        <f t="shared" si="88"/>
        <v>0</v>
      </c>
      <c r="V85" s="51">
        <f t="shared" si="88"/>
        <v>0</v>
      </c>
      <c r="W85" s="51">
        <f t="shared" si="88"/>
        <v>0</v>
      </c>
      <c r="X85" s="51">
        <f t="shared" si="88"/>
        <v>0</v>
      </c>
      <c r="Y85" s="51">
        <f t="shared" si="88"/>
        <v>0</v>
      </c>
      <c r="Z85" s="51">
        <f t="shared" si="88"/>
        <v>0</v>
      </c>
      <c r="AA85" s="51">
        <f t="shared" si="88"/>
        <v>0</v>
      </c>
      <c r="AB85" s="51">
        <f t="shared" si="88"/>
        <v>0</v>
      </c>
      <c r="AC85" s="61">
        <f>SUM(T85:AB85)</f>
        <v>0</v>
      </c>
      <c r="AD85" s="40"/>
      <c r="AE85" s="2"/>
      <c r="AH85" s="2"/>
    </row>
    <row r="86" spans="1:35" x14ac:dyDescent="0.4">
      <c r="A86" s="53"/>
      <c r="B86" s="54"/>
      <c r="C86" s="54"/>
      <c r="D86" s="54"/>
      <c r="E86" s="54"/>
      <c r="F86" s="54"/>
      <c r="G86" s="42" t="s">
        <v>91</v>
      </c>
      <c r="H86" s="42">
        <f>IF($A$82="Front",VLOOKUP($Q86,'[1]Handicap Chart'!$B$4:$K$40,2),VLOOKUP($Q86,'[1]Handicap Chart'!$B$4:$K$40,10))</f>
        <v>1</v>
      </c>
      <c r="I86" s="42">
        <f>IF($A$82="Front",VLOOKUP($Q86,'[1]Handicap Chart'!$B$4:$K$40,4),VLOOKUP($Q86,'[1]Handicap Chart'!$B$4:$K$40,3))</f>
        <v>0</v>
      </c>
      <c r="J86" s="42">
        <f>IF($A$82="Front",VLOOKUP($Q86,'[1]Handicap Chart'!$B$4:$K$40,8),VLOOKUP($Q86,'[1]Handicap Chart'!$B$4:$K$40,6))</f>
        <v>0</v>
      </c>
      <c r="K86" s="42">
        <f>IF($A$82="Front",VLOOKUP($Q86,'[1]Handicap Chart'!$B$4:$K$40,9),VLOOKUP($Q86,'[1]Handicap Chart'!$B$4:$K$40,5))</f>
        <v>0</v>
      </c>
      <c r="L86" s="42">
        <f>IF($A$82="Front",VLOOKUP($Q86,'[1]Handicap Chart'!$B$4:$K$40,5),VLOOKUP($Q86,'[1]Handicap Chart'!$B$4:$K$40,4))</f>
        <v>0</v>
      </c>
      <c r="M86" s="42">
        <f>IF($A$82="Front",VLOOKUP($Q86,'[1]Handicap Chart'!$B$4:$K$40,10),VLOOKUP($Q86,'[1]Handicap Chart'!$B$4:$K$40,9))</f>
        <v>0</v>
      </c>
      <c r="N86" s="42">
        <f>IF($A$82="Front",VLOOKUP($Q86,'[1]Handicap Chart'!$B$4:$K$40,3),VLOOKUP($Q86,'[1]Handicap Chart'!$B$4:$K$40,7))</f>
        <v>1</v>
      </c>
      <c r="O86" s="42">
        <f>IF($A$82="Front",VLOOKUP($Q86,'[1]Handicap Chart'!$B$4:$K$40,7),VLOOKUP($Q86,'[1]Handicap Chart'!$B$4:$K$40,8))</f>
        <v>0</v>
      </c>
      <c r="P86" s="42">
        <f>IF($A$82="Front",VLOOKUP($Q86,'[1]Handicap Chart'!$B$4:$K$40,6),VLOOKUP($Q86,'[1]Handicap Chart'!$B$4:$K$40,2))</f>
        <v>0</v>
      </c>
      <c r="Q86" s="55">
        <f>VLOOKUP($C85,[1]Summary!$A$4:$BL$39,47, FALSE)</f>
        <v>2</v>
      </c>
      <c r="S86" s="71" t="s">
        <v>92</v>
      </c>
      <c r="T86" s="71">
        <f>IF(OR(EXACT($E85,"Y"),(EXACT($F85,"Y"))),"-",IF(H87-T87&gt;1,-1,IF(H87-T87=0,1,IF(H87-T87=-1,3,IF(H87-T87=-2,4,IF(H87-T87=-3,5,0))))))</f>
        <v>0</v>
      </c>
      <c r="U86" s="71">
        <f t="shared" ref="U86:AB86" si="89">IF(OR(EXACT($E85,"Y"),(EXACT($F85,"Y"))),"-",IF(I87-U87&gt;1,-1,IF(I87-U87=0,1,IF(I87-U87=-1,3,IF(I87-U87=-2,4,IF(I87-U87=-3,5,0))))))</f>
        <v>5</v>
      </c>
      <c r="V86" s="71">
        <f t="shared" si="89"/>
        <v>0</v>
      </c>
      <c r="W86" s="71">
        <f t="shared" si="89"/>
        <v>0</v>
      </c>
      <c r="X86" s="71">
        <f t="shared" si="89"/>
        <v>0</v>
      </c>
      <c r="Y86" s="71">
        <f t="shared" si="89"/>
        <v>5</v>
      </c>
      <c r="Z86" s="71">
        <f t="shared" si="89"/>
        <v>0</v>
      </c>
      <c r="AA86" s="71">
        <f t="shared" si="89"/>
        <v>0</v>
      </c>
      <c r="AB86" s="71">
        <f t="shared" si="89"/>
        <v>0</v>
      </c>
      <c r="AC86" s="70">
        <f>IF(EXACT(E85,"Y"),6,IF(EXACT(F85,"Y"),2,SUM(T86:AB86)))</f>
        <v>10</v>
      </c>
      <c r="AD86" s="40"/>
      <c r="AE86" s="2"/>
      <c r="AH86" s="2"/>
    </row>
    <row r="87" spans="1:35" x14ac:dyDescent="0.4">
      <c r="A87" s="53"/>
      <c r="B87" s="54"/>
      <c r="C87" s="54"/>
      <c r="D87" s="54"/>
      <c r="E87" s="54"/>
      <c r="F87" s="54"/>
      <c r="G87" s="59" t="s">
        <v>93</v>
      </c>
      <c r="H87" s="60">
        <f t="shared" ref="H87:P87" si="90">IF(OR(EXACT($E85,"Y"),(EXACT($F85,"Y"))),"-",H85-H86)</f>
        <v>-1</v>
      </c>
      <c r="I87" s="60">
        <f t="shared" si="90"/>
        <v>0</v>
      </c>
      <c r="J87" s="60">
        <f t="shared" si="90"/>
        <v>0</v>
      </c>
      <c r="K87" s="60">
        <f t="shared" si="90"/>
        <v>0</v>
      </c>
      <c r="L87" s="60">
        <f t="shared" si="90"/>
        <v>0</v>
      </c>
      <c r="M87" s="60">
        <f t="shared" si="90"/>
        <v>0</v>
      </c>
      <c r="N87" s="60">
        <f t="shared" si="90"/>
        <v>-1</v>
      </c>
      <c r="O87" s="60">
        <f t="shared" si="90"/>
        <v>0</v>
      </c>
      <c r="P87" s="60">
        <f t="shared" si="90"/>
        <v>0</v>
      </c>
      <c r="Q87" s="61">
        <f>SUM(H87:P87)</f>
        <v>-2</v>
      </c>
      <c r="S87" s="62" t="str">
        <f>$A$12</f>
        <v>Front</v>
      </c>
      <c r="T87" s="42">
        <f t="shared" ref="T87:AB87" si="91">IF($A$12="Front",T$1,T$2)</f>
        <v>4</v>
      </c>
      <c r="U87" s="42">
        <f t="shared" si="91"/>
        <v>3</v>
      </c>
      <c r="V87" s="42">
        <f t="shared" si="91"/>
        <v>4</v>
      </c>
      <c r="W87" s="42">
        <f t="shared" si="91"/>
        <v>5</v>
      </c>
      <c r="X87" s="42">
        <f t="shared" si="91"/>
        <v>4</v>
      </c>
      <c r="Y87" s="42">
        <f t="shared" si="91"/>
        <v>3</v>
      </c>
      <c r="Z87" s="42">
        <f t="shared" si="91"/>
        <v>4</v>
      </c>
      <c r="AA87" s="42">
        <f t="shared" si="91"/>
        <v>5</v>
      </c>
      <c r="AB87" s="42">
        <f t="shared" si="91"/>
        <v>4</v>
      </c>
      <c r="AC87" s="55">
        <f>SUM(T87:AB87)</f>
        <v>36</v>
      </c>
      <c r="AD87" s="40"/>
      <c r="AE87" s="2"/>
      <c r="AH87" s="2"/>
    </row>
    <row r="88" spans="1:35" x14ac:dyDescent="0.4">
      <c r="A88" s="63" t="s">
        <v>100</v>
      </c>
      <c r="B88" s="68">
        <v>14</v>
      </c>
      <c r="C88" s="69">
        <v>27</v>
      </c>
      <c r="D88" s="68" t="str">
        <f>VLOOKUP($C88,[1]Summary!$A$4:$BL$39,4, FALSE)</f>
        <v>John Franks</v>
      </c>
      <c r="E88" s="69"/>
      <c r="F88" s="69"/>
      <c r="G88" s="68" t="s">
        <v>89</v>
      </c>
      <c r="H88" s="69"/>
      <c r="I88" s="69"/>
      <c r="J88" s="69"/>
      <c r="K88" s="69"/>
      <c r="L88" s="69"/>
      <c r="M88" s="69"/>
      <c r="N88" s="69"/>
      <c r="O88" s="69"/>
      <c r="P88" s="69"/>
      <c r="Q88" s="70">
        <f>SUM(H88:P88)</f>
        <v>0</v>
      </c>
      <c r="S88" s="65" t="s">
        <v>90</v>
      </c>
      <c r="T88" s="51">
        <f t="shared" ref="T88:AB88" si="92">IF(H88&gt;=T90+H89+2,SUM(T90+H89+2),H88)</f>
        <v>0</v>
      </c>
      <c r="U88" s="51">
        <f t="shared" si="92"/>
        <v>0</v>
      </c>
      <c r="V88" s="51">
        <f t="shared" si="92"/>
        <v>0</v>
      </c>
      <c r="W88" s="51">
        <f t="shared" si="92"/>
        <v>0</v>
      </c>
      <c r="X88" s="51">
        <f t="shared" si="92"/>
        <v>0</v>
      </c>
      <c r="Y88" s="51">
        <f t="shared" si="92"/>
        <v>0</v>
      </c>
      <c r="Z88" s="51">
        <f t="shared" si="92"/>
        <v>0</v>
      </c>
      <c r="AA88" s="51">
        <f t="shared" si="92"/>
        <v>0</v>
      </c>
      <c r="AB88" s="51">
        <f t="shared" si="92"/>
        <v>0</v>
      </c>
      <c r="AC88" s="61">
        <f>SUM(T88:AB88)</f>
        <v>0</v>
      </c>
      <c r="AD88" s="40"/>
      <c r="AE88" s="2"/>
      <c r="AH88" s="2"/>
    </row>
    <row r="89" spans="1:35" ht="15" thickBot="1" x14ac:dyDescent="0.45">
      <c r="A89" s="53"/>
      <c r="B89" s="54"/>
      <c r="C89" s="54"/>
      <c r="D89" s="54"/>
      <c r="E89" s="54"/>
      <c r="F89" s="54"/>
      <c r="G89" s="42" t="s">
        <v>91</v>
      </c>
      <c r="H89" s="42">
        <f>IF($A$82="Front",VLOOKUP($Q89,'[1]Handicap Chart'!$B$4:$K$40,2),VLOOKUP($Q89,'[1]Handicap Chart'!$B$4:$K$40,10))</f>
        <v>2</v>
      </c>
      <c r="I89" s="42">
        <f>IF($A$82="Front",VLOOKUP($Q89,'[1]Handicap Chart'!$B$4:$K$40,4),VLOOKUP($Q89,'[1]Handicap Chart'!$B$4:$K$40,3))</f>
        <v>1</v>
      </c>
      <c r="J89" s="42">
        <f>IF($A$82="Front",VLOOKUP($Q89,'[1]Handicap Chart'!$B$4:$K$40,8),VLOOKUP($Q89,'[1]Handicap Chart'!$B$4:$K$40,6))</f>
        <v>1</v>
      </c>
      <c r="K89" s="42">
        <f>IF($A$82="Front",VLOOKUP($Q89,'[1]Handicap Chart'!$B$4:$K$40,9),VLOOKUP($Q89,'[1]Handicap Chart'!$B$4:$K$40,5))</f>
        <v>1</v>
      </c>
      <c r="L89" s="42">
        <f>IF($A$82="Front",VLOOKUP($Q89,'[1]Handicap Chart'!$B$4:$K$40,5),VLOOKUP($Q89,'[1]Handicap Chart'!$B$4:$K$40,4))</f>
        <v>1</v>
      </c>
      <c r="M89" s="42">
        <f>IF($A$82="Front",VLOOKUP($Q89,'[1]Handicap Chart'!$B$4:$K$40,10),VLOOKUP($Q89,'[1]Handicap Chart'!$B$4:$K$40,9))</f>
        <v>1</v>
      </c>
      <c r="N89" s="42">
        <f>IF($A$82="Front",VLOOKUP($Q89,'[1]Handicap Chart'!$B$4:$K$40,3),VLOOKUP($Q89,'[1]Handicap Chart'!$B$4:$K$40,7))</f>
        <v>2</v>
      </c>
      <c r="O89" s="42">
        <f>IF($A$82="Front",VLOOKUP($Q89,'[1]Handicap Chart'!$B$4:$K$40,7),VLOOKUP($Q89,'[1]Handicap Chart'!$B$4:$K$40,8))</f>
        <v>1</v>
      </c>
      <c r="P89" s="42">
        <f>IF($A$82="Front",VLOOKUP($Q89,'[1]Handicap Chart'!$B$4:$K$40,6),VLOOKUP($Q89,'[1]Handicap Chart'!$B$4:$K$40,2))</f>
        <v>1</v>
      </c>
      <c r="Q89" s="55">
        <f>VLOOKUP($C88,[1]Summary!$A$4:$BL$39,47, FALSE)</f>
        <v>11</v>
      </c>
      <c r="S89" s="71" t="s">
        <v>92</v>
      </c>
      <c r="T89" s="71">
        <f>IF(OR(EXACT($E88,"Y"),(EXACT($F88,"Y"))),"-",IF(H90-T90&gt;1,-1,IF(H90-T90=0,1,IF(H90-T90=-1,3,IF(H90-T90=-2,4,IF(H90-T90=-3,5,0))))))</f>
        <v>0</v>
      </c>
      <c r="U89" s="71">
        <f t="shared" ref="U89:AB89" si="93">IF(OR(EXACT($E88,"Y"),(EXACT($F88,"Y"))),"-",IF(I90-U90&gt;1,-1,IF(I90-U90=0,1,IF(I90-U90=-1,3,IF(I90-U90=-2,4,IF(I90-U90=-3,5,0))))))</f>
        <v>0</v>
      </c>
      <c r="V89" s="71">
        <f t="shared" si="93"/>
        <v>0</v>
      </c>
      <c r="W89" s="71">
        <f t="shared" si="93"/>
        <v>0</v>
      </c>
      <c r="X89" s="71">
        <f t="shared" si="93"/>
        <v>0</v>
      </c>
      <c r="Y89" s="71">
        <f t="shared" si="93"/>
        <v>0</v>
      </c>
      <c r="Z89" s="71">
        <f t="shared" si="93"/>
        <v>0</v>
      </c>
      <c r="AA89" s="71">
        <f t="shared" si="93"/>
        <v>0</v>
      </c>
      <c r="AB89" s="71">
        <f t="shared" si="93"/>
        <v>0</v>
      </c>
      <c r="AC89" s="70">
        <f>IF(EXACT(E88,"Y"),6,IF(EXACT(F88,"Y"),2,SUM(T89:AB89)))</f>
        <v>0</v>
      </c>
      <c r="AD89" s="40"/>
      <c r="AE89" s="2"/>
      <c r="AH89" s="2"/>
    </row>
    <row r="90" spans="1:35" ht="15" thickBot="1" x14ac:dyDescent="0.45">
      <c r="A90" s="72"/>
      <c r="B90" s="73"/>
      <c r="C90" s="73"/>
      <c r="D90" s="73"/>
      <c r="E90" s="73"/>
      <c r="F90" s="73"/>
      <c r="G90" s="74" t="s">
        <v>93</v>
      </c>
      <c r="H90" s="60">
        <f t="shared" ref="H90:P90" si="94">IF(OR(EXACT($E88,"Y"),(EXACT($F88,"Y"))),"-",H88-H89)</f>
        <v>-2</v>
      </c>
      <c r="I90" s="60">
        <f t="shared" si="94"/>
        <v>-1</v>
      </c>
      <c r="J90" s="60">
        <f t="shared" si="94"/>
        <v>-1</v>
      </c>
      <c r="K90" s="60">
        <f t="shared" si="94"/>
        <v>-1</v>
      </c>
      <c r="L90" s="60">
        <f t="shared" si="94"/>
        <v>-1</v>
      </c>
      <c r="M90" s="60">
        <f t="shared" si="94"/>
        <v>-1</v>
      </c>
      <c r="N90" s="60">
        <f t="shared" si="94"/>
        <v>-2</v>
      </c>
      <c r="O90" s="60">
        <f t="shared" si="94"/>
        <v>-1</v>
      </c>
      <c r="P90" s="60">
        <f t="shared" si="94"/>
        <v>-1</v>
      </c>
      <c r="Q90" s="75">
        <f>SUM(H90:P90)</f>
        <v>-11</v>
      </c>
      <c r="S90" s="27" t="str">
        <f>$A$12</f>
        <v>Front</v>
      </c>
      <c r="T90" s="76">
        <f t="shared" ref="T90:AB90" si="95">IF($A$12="Front",T$1,T$2)</f>
        <v>4</v>
      </c>
      <c r="U90" s="76">
        <f t="shared" si="95"/>
        <v>3</v>
      </c>
      <c r="V90" s="76">
        <f t="shared" si="95"/>
        <v>4</v>
      </c>
      <c r="W90" s="76">
        <f t="shared" si="95"/>
        <v>5</v>
      </c>
      <c r="X90" s="76">
        <f t="shared" si="95"/>
        <v>4</v>
      </c>
      <c r="Y90" s="76">
        <f t="shared" si="95"/>
        <v>3</v>
      </c>
      <c r="Z90" s="76">
        <f t="shared" si="95"/>
        <v>4</v>
      </c>
      <c r="AA90" s="76">
        <f t="shared" si="95"/>
        <v>5</v>
      </c>
      <c r="AB90" s="76">
        <f t="shared" si="95"/>
        <v>4</v>
      </c>
      <c r="AC90" s="77">
        <f>SUM(T90:AB90)</f>
        <v>36</v>
      </c>
      <c r="AD90" s="40">
        <f>B85</f>
        <v>14</v>
      </c>
      <c r="AE90" s="78">
        <f>AC86+AC89</f>
        <v>10</v>
      </c>
      <c r="AF90" s="78">
        <f>IF(AC86&gt;=AC80,IF(AC86&gt;AC80,IF(AC89&gt;=AC83,IF(AC89&gt;AC83,4,3),2),IF(AC89&gt;=AC83,IF(AC89&gt;AC83,3,2),IF(AC89&gt;=AC83,IF(AC89&gt;AC83,2,1),1))),IF(AC89&gt;=AC83,IF(AC89&gt;AC83,2,1),0))</f>
        <v>3</v>
      </c>
      <c r="AG90" s="78">
        <f>IF(AE90&gt;AE84,4,IF(AE90=AE84,2,0))</f>
        <v>4</v>
      </c>
      <c r="AH90" s="79">
        <v>6</v>
      </c>
      <c r="AI90" s="79">
        <f>SUM(AF90:AH90)</f>
        <v>13</v>
      </c>
    </row>
    <row r="91" spans="1:35" ht="15" thickBo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40"/>
      <c r="AE91" s="2"/>
      <c r="AH91" s="2"/>
    </row>
    <row r="92" spans="1:35" ht="15" thickBot="1" x14ac:dyDescent="0.45">
      <c r="A92" s="42" t="s">
        <v>82</v>
      </c>
      <c r="B92" s="42" t="s">
        <v>0</v>
      </c>
      <c r="C92" s="42" t="s">
        <v>6</v>
      </c>
      <c r="D92" s="42" t="s">
        <v>84</v>
      </c>
      <c r="E92" s="42" t="s">
        <v>85</v>
      </c>
      <c r="F92" s="42" t="s">
        <v>86</v>
      </c>
      <c r="G92" s="42"/>
      <c r="H92" s="42">
        <v>1</v>
      </c>
      <c r="I92" s="42">
        <v>2</v>
      </c>
      <c r="J92" s="42">
        <v>3</v>
      </c>
      <c r="K92" s="42">
        <v>4</v>
      </c>
      <c r="L92" s="42">
        <v>5</v>
      </c>
      <c r="M92" s="42">
        <v>6</v>
      </c>
      <c r="N92" s="42">
        <v>7</v>
      </c>
      <c r="O92" s="42">
        <v>8</v>
      </c>
      <c r="P92" s="42">
        <v>9</v>
      </c>
      <c r="Q92" s="42" t="s">
        <v>87</v>
      </c>
      <c r="S92" s="43" t="s">
        <v>88</v>
      </c>
      <c r="T92" s="44">
        <v>1</v>
      </c>
      <c r="U92" s="44">
        <v>2</v>
      </c>
      <c r="V92" s="44">
        <v>3</v>
      </c>
      <c r="W92" s="44">
        <v>4</v>
      </c>
      <c r="X92" s="44">
        <v>5</v>
      </c>
      <c r="Y92" s="44">
        <v>6</v>
      </c>
      <c r="Z92" s="44">
        <v>7</v>
      </c>
      <c r="AA92" s="44">
        <v>8</v>
      </c>
      <c r="AB92" s="44">
        <v>9</v>
      </c>
      <c r="AC92" s="45" t="s">
        <v>4</v>
      </c>
      <c r="AD92" s="40"/>
      <c r="AE92" s="2"/>
      <c r="AH92" s="2"/>
    </row>
    <row r="93" spans="1:35" x14ac:dyDescent="0.4">
      <c r="A93" s="46">
        <v>2</v>
      </c>
      <c r="B93" s="47">
        <v>3</v>
      </c>
      <c r="C93" s="48">
        <v>6</v>
      </c>
      <c r="D93" s="47" t="str">
        <f>VLOOKUP($C93,[1]Summary!$A$4:$BL$39,4, FALSE)</f>
        <v>Sanjay Reddy</v>
      </c>
      <c r="E93" s="48"/>
      <c r="F93" s="48"/>
      <c r="G93" s="47" t="s">
        <v>89</v>
      </c>
      <c r="H93" s="48"/>
      <c r="I93" s="48"/>
      <c r="J93" s="48"/>
      <c r="K93" s="48"/>
      <c r="L93" s="48"/>
      <c r="M93" s="48"/>
      <c r="N93" s="48"/>
      <c r="O93" s="48"/>
      <c r="P93" s="48"/>
      <c r="Q93" s="49">
        <f>SUM(H93:P93)</f>
        <v>0</v>
      </c>
      <c r="S93" s="50" t="s">
        <v>90</v>
      </c>
      <c r="T93" s="51">
        <f t="shared" ref="T93:AB93" si="96">IF(H93&gt;=T95+H94+2,SUM(T95+H94+2),H93)</f>
        <v>0</v>
      </c>
      <c r="U93" s="51">
        <f t="shared" si="96"/>
        <v>0</v>
      </c>
      <c r="V93" s="51">
        <f t="shared" si="96"/>
        <v>0</v>
      </c>
      <c r="W93" s="51">
        <f t="shared" si="96"/>
        <v>0</v>
      </c>
      <c r="X93" s="51">
        <f t="shared" si="96"/>
        <v>0</v>
      </c>
      <c r="Y93" s="51">
        <f t="shared" si="96"/>
        <v>0</v>
      </c>
      <c r="Z93" s="51">
        <f t="shared" si="96"/>
        <v>0</v>
      </c>
      <c r="AA93" s="51">
        <f t="shared" si="96"/>
        <v>0</v>
      </c>
      <c r="AB93" s="51">
        <f t="shared" si="96"/>
        <v>0</v>
      </c>
      <c r="AC93" s="52">
        <f>SUM(T93:AB93)</f>
        <v>0</v>
      </c>
      <c r="AD93" s="40"/>
      <c r="AE93" s="2"/>
      <c r="AH93" s="2"/>
    </row>
    <row r="94" spans="1:35" x14ac:dyDescent="0.4">
      <c r="A94" s="53"/>
      <c r="B94" s="54"/>
      <c r="C94" s="54"/>
      <c r="D94" s="54"/>
      <c r="E94" s="54"/>
      <c r="F94" s="54"/>
      <c r="G94" s="42" t="s">
        <v>91</v>
      </c>
      <c r="H94" s="42">
        <f>IF($A$96="Front",VLOOKUP($Q94,'[1]Handicap Chart'!$B$4:$K$40,2),VLOOKUP($Q94,'[1]Handicap Chart'!$B$4:$K$40,10))</f>
        <v>1</v>
      </c>
      <c r="I94" s="42">
        <f>IF($A$96="Front",VLOOKUP($Q94,'[1]Handicap Chart'!$B$4:$K$40,4),VLOOKUP($Q94,'[1]Handicap Chart'!$B$4:$K$40,3))</f>
        <v>1</v>
      </c>
      <c r="J94" s="42">
        <f>IF($A$96="Front",VLOOKUP($Q94,'[1]Handicap Chart'!$B$4:$K$40,8),VLOOKUP($Q94,'[1]Handicap Chart'!$B$4:$K$40,6))</f>
        <v>1</v>
      </c>
      <c r="K94" s="42">
        <f>IF($A$96="Front",VLOOKUP($Q94,'[1]Handicap Chart'!$B$4:$K$40,9),VLOOKUP($Q94,'[1]Handicap Chart'!$B$4:$K$40,5))</f>
        <v>1</v>
      </c>
      <c r="L94" s="42">
        <f>IF($A$96="Front",VLOOKUP($Q94,'[1]Handicap Chart'!$B$4:$K$40,5),VLOOKUP($Q94,'[1]Handicap Chart'!$B$4:$K$40,4))</f>
        <v>1</v>
      </c>
      <c r="M94" s="42">
        <f>IF($A$96="Front",VLOOKUP($Q94,'[1]Handicap Chart'!$B$4:$K$40,10),VLOOKUP($Q94,'[1]Handicap Chart'!$B$4:$K$40,9))</f>
        <v>1</v>
      </c>
      <c r="N94" s="42">
        <f>IF($A$96="Front",VLOOKUP($Q94,'[1]Handicap Chart'!$B$4:$K$40,3),VLOOKUP($Q94,'[1]Handicap Chart'!$B$4:$K$40,7))</f>
        <v>1</v>
      </c>
      <c r="O94" s="42">
        <f>IF($A$96="Front",VLOOKUP($Q94,'[1]Handicap Chart'!$B$4:$K$40,7),VLOOKUP($Q94,'[1]Handicap Chart'!$B$4:$K$40,8))</f>
        <v>1</v>
      </c>
      <c r="P94" s="42">
        <f>IF($A$96="Front",VLOOKUP($Q94,'[1]Handicap Chart'!$B$4:$K$40,6),VLOOKUP($Q94,'[1]Handicap Chart'!$B$4:$K$40,2))</f>
        <v>1</v>
      </c>
      <c r="Q94" s="55">
        <f>VLOOKUP($C93,[1]Summary!$A$4:$BL$39,47, FALSE)</f>
        <v>9</v>
      </c>
      <c r="S94" s="56" t="s">
        <v>92</v>
      </c>
      <c r="T94" s="57">
        <f t="shared" ref="T94:AB94" si="97">IF(OR(EXACT($E93,"Y"),(EXACT($F93,"Y"))),"-",IF(H95-T95&gt;1,-1,IF(H95-T95=0,1,IF(H95-T95=-1,3,IF(H95-T95=-2,4,IF(H95-T95=-3,5,0))))))</f>
        <v>0</v>
      </c>
      <c r="U94" s="57">
        <f t="shared" si="97"/>
        <v>0</v>
      </c>
      <c r="V94" s="57">
        <f t="shared" si="97"/>
        <v>0</v>
      </c>
      <c r="W94" s="57">
        <f t="shared" si="97"/>
        <v>0</v>
      </c>
      <c r="X94" s="57">
        <f t="shared" si="97"/>
        <v>0</v>
      </c>
      <c r="Y94" s="57">
        <f t="shared" si="97"/>
        <v>0</v>
      </c>
      <c r="Z94" s="57">
        <f t="shared" si="97"/>
        <v>0</v>
      </c>
      <c r="AA94" s="57">
        <f t="shared" si="97"/>
        <v>0</v>
      </c>
      <c r="AB94" s="57">
        <f t="shared" si="97"/>
        <v>0</v>
      </c>
      <c r="AC94" s="58">
        <f>IF(EXACT(E93,"Y"),6,IF(EXACT(F93,"Y"),2,SUM(T94:AB94)))</f>
        <v>0</v>
      </c>
      <c r="AD94" s="40"/>
      <c r="AE94" s="2"/>
      <c r="AH94" s="2"/>
    </row>
    <row r="95" spans="1:35" ht="15" thickBot="1" x14ac:dyDescent="0.45">
      <c r="A95" s="53"/>
      <c r="B95" s="54"/>
      <c r="C95" s="54"/>
      <c r="D95" s="54"/>
      <c r="E95" s="54"/>
      <c r="F95" s="54"/>
      <c r="G95" s="59" t="s">
        <v>93</v>
      </c>
      <c r="H95" s="60">
        <f t="shared" ref="H95:P95" si="98">IF(OR(EXACT($E93,"Y"),(EXACT($F93,"Y"))),"-",H93-H94)</f>
        <v>-1</v>
      </c>
      <c r="I95" s="60">
        <f t="shared" si="98"/>
        <v>-1</v>
      </c>
      <c r="J95" s="60">
        <f t="shared" si="98"/>
        <v>-1</v>
      </c>
      <c r="K95" s="60">
        <f t="shared" si="98"/>
        <v>-1</v>
      </c>
      <c r="L95" s="60">
        <f t="shared" si="98"/>
        <v>-1</v>
      </c>
      <c r="M95" s="60">
        <f t="shared" si="98"/>
        <v>-1</v>
      </c>
      <c r="N95" s="60">
        <f t="shared" si="98"/>
        <v>-1</v>
      </c>
      <c r="O95" s="60">
        <f t="shared" si="98"/>
        <v>-1</v>
      </c>
      <c r="P95" s="60">
        <f t="shared" si="98"/>
        <v>-1</v>
      </c>
      <c r="Q95" s="61">
        <f>SUM(H95:P95)</f>
        <v>-9</v>
      </c>
      <c r="S95" s="62" t="str">
        <f>$A$12</f>
        <v>Front</v>
      </c>
      <c r="T95" s="42">
        <f t="shared" ref="T95:AB95" si="99">IF($A$12="Front",T$1,T$2)</f>
        <v>4</v>
      </c>
      <c r="U95" s="42">
        <f t="shared" si="99"/>
        <v>3</v>
      </c>
      <c r="V95" s="42">
        <f t="shared" si="99"/>
        <v>4</v>
      </c>
      <c r="W95" s="42">
        <f t="shared" si="99"/>
        <v>5</v>
      </c>
      <c r="X95" s="42">
        <f t="shared" si="99"/>
        <v>4</v>
      </c>
      <c r="Y95" s="42">
        <f t="shared" si="99"/>
        <v>3</v>
      </c>
      <c r="Z95" s="42">
        <f t="shared" si="99"/>
        <v>4</v>
      </c>
      <c r="AA95" s="42">
        <f t="shared" si="99"/>
        <v>5</v>
      </c>
      <c r="AB95" s="42">
        <f t="shared" si="99"/>
        <v>4</v>
      </c>
      <c r="AC95" s="55">
        <f>SUM(T95:AB95)</f>
        <v>36</v>
      </c>
      <c r="AD95" s="40"/>
      <c r="AE95" s="2"/>
      <c r="AH95" s="2"/>
    </row>
    <row r="96" spans="1:35" x14ac:dyDescent="0.4">
      <c r="A96" s="63" t="s">
        <v>74</v>
      </c>
      <c r="B96" s="57">
        <v>3</v>
      </c>
      <c r="C96" s="64">
        <v>5</v>
      </c>
      <c r="D96" s="47" t="str">
        <f>VLOOKUP($C96,[1]Summary!$A$4:$BL$39,4, FALSE)</f>
        <v>Baz Mistry</v>
      </c>
      <c r="E96" s="64"/>
      <c r="F96" s="64"/>
      <c r="G96" s="57" t="s">
        <v>89</v>
      </c>
      <c r="H96" s="64"/>
      <c r="I96" s="64"/>
      <c r="J96" s="64"/>
      <c r="K96" s="64"/>
      <c r="L96" s="64"/>
      <c r="M96" s="64"/>
      <c r="N96" s="64"/>
      <c r="O96" s="64"/>
      <c r="P96" s="64"/>
      <c r="Q96" s="49">
        <f>SUM(H96:P96)</f>
        <v>0</v>
      </c>
      <c r="S96" s="65" t="s">
        <v>90</v>
      </c>
      <c r="T96" s="51">
        <f>IF(H96&gt;=T98+H97+2,SUM(T98+H97+2),H96)</f>
        <v>0</v>
      </c>
      <c r="U96" s="51">
        <f t="shared" ref="U96:AB96" si="100">IF(I96&gt;=U98+I97+2,SUM(U98+I97+2),I96)</f>
        <v>0</v>
      </c>
      <c r="V96" s="51">
        <f t="shared" si="100"/>
        <v>0</v>
      </c>
      <c r="W96" s="51">
        <f t="shared" si="100"/>
        <v>0</v>
      </c>
      <c r="X96" s="51">
        <f t="shared" si="100"/>
        <v>0</v>
      </c>
      <c r="Y96" s="51">
        <f t="shared" si="100"/>
        <v>0</v>
      </c>
      <c r="Z96" s="51">
        <f t="shared" si="100"/>
        <v>0</v>
      </c>
      <c r="AA96" s="51">
        <f t="shared" si="100"/>
        <v>0</v>
      </c>
      <c r="AB96" s="51">
        <f t="shared" si="100"/>
        <v>0</v>
      </c>
      <c r="AC96" s="61">
        <f>SUM(T96:AB96)</f>
        <v>0</v>
      </c>
      <c r="AD96" s="40"/>
      <c r="AE96" s="2"/>
      <c r="AH96" s="2"/>
    </row>
    <row r="97" spans="1:35" ht="15" thickBot="1" x14ac:dyDescent="0.45">
      <c r="A97" s="53"/>
      <c r="B97" s="54"/>
      <c r="C97" s="54"/>
      <c r="D97" s="54"/>
      <c r="E97" s="54"/>
      <c r="F97" s="54"/>
      <c r="G97" s="42" t="s">
        <v>91</v>
      </c>
      <c r="H97" s="42">
        <f>IF($A$96="Front",VLOOKUP($Q97,'[1]Handicap Chart'!$B$4:$K$40,2),VLOOKUP($Q97,'[1]Handicap Chart'!$B$4:$K$40,10))</f>
        <v>1</v>
      </c>
      <c r="I97" s="42">
        <f>IF($A$96="Front",VLOOKUP($Q97,'[1]Handicap Chart'!$B$4:$K$40,4),VLOOKUP($Q97,'[1]Handicap Chart'!$B$4:$K$40,3))</f>
        <v>1</v>
      </c>
      <c r="J97" s="42">
        <f>IF($A$96="Front",VLOOKUP($Q97,'[1]Handicap Chart'!$B$4:$K$40,8),VLOOKUP($Q97,'[1]Handicap Chart'!$B$4:$K$40,6))</f>
        <v>1</v>
      </c>
      <c r="K97" s="42">
        <f>IF($A$96="Front",VLOOKUP($Q97,'[1]Handicap Chart'!$B$4:$K$40,9),VLOOKUP($Q97,'[1]Handicap Chart'!$B$4:$K$40,5))</f>
        <v>1</v>
      </c>
      <c r="L97" s="42">
        <f>IF($A$96="Front",VLOOKUP($Q97,'[1]Handicap Chart'!$B$4:$K$40,5),VLOOKUP($Q97,'[1]Handicap Chart'!$B$4:$K$40,4))</f>
        <v>1</v>
      </c>
      <c r="M97" s="42">
        <f>IF($A$96="Front",VLOOKUP($Q97,'[1]Handicap Chart'!$B$4:$K$40,10),VLOOKUP($Q97,'[1]Handicap Chart'!$B$4:$K$40,9))</f>
        <v>0</v>
      </c>
      <c r="N97" s="42">
        <f>IF($A$96="Front",VLOOKUP($Q97,'[1]Handicap Chart'!$B$4:$K$40,3),VLOOKUP($Q97,'[1]Handicap Chart'!$B$4:$K$40,7))</f>
        <v>1</v>
      </c>
      <c r="O97" s="42">
        <f>IF($A$96="Front",VLOOKUP($Q97,'[1]Handicap Chart'!$B$4:$K$40,7),VLOOKUP($Q97,'[1]Handicap Chart'!$B$4:$K$40,8))</f>
        <v>1</v>
      </c>
      <c r="P97" s="42">
        <f>IF($A$96="Front",VLOOKUP($Q97,'[1]Handicap Chart'!$B$4:$K$40,6),VLOOKUP($Q97,'[1]Handicap Chart'!$B$4:$K$40,2))</f>
        <v>1</v>
      </c>
      <c r="Q97" s="55">
        <f>VLOOKUP($C96,[1]Summary!$A$4:$BL$39,47, FALSE)</f>
        <v>8</v>
      </c>
      <c r="S97" s="56" t="s">
        <v>92</v>
      </c>
      <c r="T97" s="57">
        <f t="shared" ref="T97:AB97" si="101">IF(OR(EXACT($E96,"Y"),(EXACT($F96,"Y"))),"-",IF(H98-T98&gt;1,-1,IF(H98-T98=0,1,IF(H98-T98=-1,3,IF(H98-T98=-2,4,IF(H98-T98=-3,5,0))))))</f>
        <v>0</v>
      </c>
      <c r="U97" s="57">
        <f t="shared" si="101"/>
        <v>0</v>
      </c>
      <c r="V97" s="57">
        <f t="shared" si="101"/>
        <v>0</v>
      </c>
      <c r="W97" s="57">
        <f t="shared" si="101"/>
        <v>0</v>
      </c>
      <c r="X97" s="57">
        <f t="shared" si="101"/>
        <v>0</v>
      </c>
      <c r="Y97" s="57">
        <f t="shared" si="101"/>
        <v>5</v>
      </c>
      <c r="Z97" s="57">
        <f t="shared" si="101"/>
        <v>0</v>
      </c>
      <c r="AA97" s="57">
        <f t="shared" si="101"/>
        <v>0</v>
      </c>
      <c r="AB97" s="57">
        <f t="shared" si="101"/>
        <v>0</v>
      </c>
      <c r="AC97" s="58">
        <f>IF(EXACT(E96,"Y"),6,IF(EXACT(F96,"Y"),2,SUM(T97:AB97)))</f>
        <v>5</v>
      </c>
      <c r="AD97" s="40"/>
      <c r="AE97" s="2"/>
      <c r="AH97" s="2"/>
    </row>
    <row r="98" spans="1:35" ht="15" thickBot="1" x14ac:dyDescent="0.45">
      <c r="A98" s="53"/>
      <c r="B98" s="54"/>
      <c r="C98" s="54"/>
      <c r="D98" s="54"/>
      <c r="E98" s="54"/>
      <c r="F98" s="54"/>
      <c r="G98" s="59" t="s">
        <v>93</v>
      </c>
      <c r="H98" s="60">
        <f t="shared" ref="H98:P98" si="102">IF(OR(EXACT($E96,"Y"),(EXACT($F96,"Y"))),"-",H96-H97)</f>
        <v>-1</v>
      </c>
      <c r="I98" s="60">
        <f t="shared" si="102"/>
        <v>-1</v>
      </c>
      <c r="J98" s="60">
        <f t="shared" si="102"/>
        <v>-1</v>
      </c>
      <c r="K98" s="60">
        <f t="shared" si="102"/>
        <v>-1</v>
      </c>
      <c r="L98" s="60">
        <f t="shared" si="102"/>
        <v>-1</v>
      </c>
      <c r="M98" s="60">
        <f t="shared" si="102"/>
        <v>0</v>
      </c>
      <c r="N98" s="60">
        <f t="shared" si="102"/>
        <v>-1</v>
      </c>
      <c r="O98" s="60">
        <f t="shared" si="102"/>
        <v>-1</v>
      </c>
      <c r="P98" s="60">
        <f t="shared" si="102"/>
        <v>-1</v>
      </c>
      <c r="Q98" s="61">
        <f>SUM(H98:P98)</f>
        <v>-8</v>
      </c>
      <c r="S98" s="62" t="str">
        <f>$A$12</f>
        <v>Front</v>
      </c>
      <c r="T98" s="42">
        <f t="shared" ref="T98:AB98" si="103">IF($A$12="Front",T$1,T$2)</f>
        <v>4</v>
      </c>
      <c r="U98" s="42">
        <f t="shared" si="103"/>
        <v>3</v>
      </c>
      <c r="V98" s="42">
        <f t="shared" si="103"/>
        <v>4</v>
      </c>
      <c r="W98" s="42">
        <f t="shared" si="103"/>
        <v>5</v>
      </c>
      <c r="X98" s="42">
        <f t="shared" si="103"/>
        <v>4</v>
      </c>
      <c r="Y98" s="42">
        <f t="shared" si="103"/>
        <v>3</v>
      </c>
      <c r="Z98" s="42">
        <f t="shared" si="103"/>
        <v>4</v>
      </c>
      <c r="AA98" s="42">
        <f t="shared" si="103"/>
        <v>5</v>
      </c>
      <c r="AB98" s="42">
        <f t="shared" si="103"/>
        <v>4</v>
      </c>
      <c r="AC98" s="55">
        <f>SUM(T98:AB98)</f>
        <v>36</v>
      </c>
      <c r="AD98" s="40">
        <f>B93</f>
        <v>3</v>
      </c>
      <c r="AE98" s="80">
        <f>AC94+AC97</f>
        <v>5</v>
      </c>
      <c r="AF98" s="66">
        <f>IF(AC94&gt;=AC100,IF(AC94&gt;AC100,IF(AC97&gt;=AC103,IF(AC97&gt;AC103,4,3),2),IF(AC97&gt;=AC103,IF(AC97&gt;AC103,3,2),IF(AC97&gt;=AC103,IF(AC97&gt;AC103,2,1),1))),IF(AC97&gt;=AC103,IF(AC97&gt;AC103,2,1),0))</f>
        <v>2</v>
      </c>
      <c r="AG98" s="66">
        <f>IF(AE98&gt;AE104,4,IF(AE98=AE104,2,0))</f>
        <v>2</v>
      </c>
      <c r="AH98" s="67">
        <v>6</v>
      </c>
      <c r="AI98" s="67">
        <f>SUM(AF98:AH98)</f>
        <v>10</v>
      </c>
    </row>
    <row r="99" spans="1:35" x14ac:dyDescent="0.4">
      <c r="A99" s="63" t="s">
        <v>94</v>
      </c>
      <c r="B99" s="68">
        <v>2</v>
      </c>
      <c r="C99" s="69">
        <v>3</v>
      </c>
      <c r="D99" s="68" t="str">
        <f>VLOOKUP($C99,[1]Summary!$A$4:$BL$39,4, FALSE)</f>
        <v>Steve Brosius</v>
      </c>
      <c r="E99" s="69"/>
      <c r="F99" s="69"/>
      <c r="G99" s="68" t="s">
        <v>89</v>
      </c>
      <c r="H99" s="69"/>
      <c r="I99" s="69"/>
      <c r="J99" s="69"/>
      <c r="K99" s="69"/>
      <c r="L99" s="69"/>
      <c r="M99" s="69"/>
      <c r="N99" s="69"/>
      <c r="O99" s="69"/>
      <c r="P99" s="69"/>
      <c r="Q99" s="70">
        <f>SUM(H99:P99)</f>
        <v>0</v>
      </c>
      <c r="S99" s="65" t="s">
        <v>90</v>
      </c>
      <c r="T99" s="51">
        <f t="shared" ref="T99:AB99" si="104">IF(H99&gt;=T101+H100+2,SUM(T101+H100+2),H99)</f>
        <v>0</v>
      </c>
      <c r="U99" s="51">
        <f t="shared" si="104"/>
        <v>0</v>
      </c>
      <c r="V99" s="51">
        <f t="shared" si="104"/>
        <v>0</v>
      </c>
      <c r="W99" s="51">
        <f t="shared" si="104"/>
        <v>0</v>
      </c>
      <c r="X99" s="51">
        <f t="shared" si="104"/>
        <v>0</v>
      </c>
      <c r="Y99" s="51">
        <f t="shared" si="104"/>
        <v>0</v>
      </c>
      <c r="Z99" s="51">
        <f t="shared" si="104"/>
        <v>0</v>
      </c>
      <c r="AA99" s="51">
        <f t="shared" si="104"/>
        <v>0</v>
      </c>
      <c r="AB99" s="51">
        <f t="shared" si="104"/>
        <v>0</v>
      </c>
      <c r="AC99" s="61">
        <f>SUM(T99:AB99)</f>
        <v>0</v>
      </c>
      <c r="AD99" s="40"/>
      <c r="AE99" s="2"/>
      <c r="AH99" s="2"/>
    </row>
    <row r="100" spans="1:35" x14ac:dyDescent="0.4">
      <c r="A100" s="53"/>
      <c r="B100" s="54"/>
      <c r="C100" s="54"/>
      <c r="D100" s="54"/>
      <c r="E100" s="54"/>
      <c r="F100" s="54"/>
      <c r="G100" s="42" t="s">
        <v>91</v>
      </c>
      <c r="H100" s="42">
        <f>IF($A$96="Front",VLOOKUP($Q100,'[1]Handicap Chart'!$B$4:$K$40,2),VLOOKUP($Q100,'[1]Handicap Chart'!$B$4:$K$40,10))</f>
        <v>1</v>
      </c>
      <c r="I100" s="42">
        <f>IF($A$96="Front",VLOOKUP($Q100,'[1]Handicap Chart'!$B$4:$K$40,4),VLOOKUP($Q100,'[1]Handicap Chart'!$B$4:$K$40,3))</f>
        <v>1</v>
      </c>
      <c r="J100" s="42">
        <f>IF($A$96="Front",VLOOKUP($Q100,'[1]Handicap Chart'!$B$4:$K$40,8),VLOOKUP($Q100,'[1]Handicap Chart'!$B$4:$K$40,6))</f>
        <v>1</v>
      </c>
      <c r="K100" s="42">
        <f>IF($A$96="Front",VLOOKUP($Q100,'[1]Handicap Chart'!$B$4:$K$40,9),VLOOKUP($Q100,'[1]Handicap Chart'!$B$4:$K$40,5))</f>
        <v>1</v>
      </c>
      <c r="L100" s="42">
        <f>IF($A$96="Front",VLOOKUP($Q100,'[1]Handicap Chart'!$B$4:$K$40,5),VLOOKUP($Q100,'[1]Handicap Chart'!$B$4:$K$40,4))</f>
        <v>1</v>
      </c>
      <c r="M100" s="42">
        <f>IF($A$96="Front",VLOOKUP($Q100,'[1]Handicap Chart'!$B$4:$K$40,10),VLOOKUP($Q100,'[1]Handicap Chart'!$B$4:$K$40,9))</f>
        <v>0</v>
      </c>
      <c r="N100" s="42">
        <f>IF($A$96="Front",VLOOKUP($Q100,'[1]Handicap Chart'!$B$4:$K$40,3),VLOOKUP($Q100,'[1]Handicap Chart'!$B$4:$K$40,7))</f>
        <v>1</v>
      </c>
      <c r="O100" s="42">
        <f>IF($A$96="Front",VLOOKUP($Q100,'[1]Handicap Chart'!$B$4:$K$40,7),VLOOKUP($Q100,'[1]Handicap Chart'!$B$4:$K$40,8))</f>
        <v>1</v>
      </c>
      <c r="P100" s="42">
        <f>IF($A$96="Front",VLOOKUP($Q100,'[1]Handicap Chart'!$B$4:$K$40,6),VLOOKUP($Q100,'[1]Handicap Chart'!$B$4:$K$40,2))</f>
        <v>1</v>
      </c>
      <c r="Q100" s="55">
        <f>VLOOKUP($C99,[1]Summary!$A$4:$BL$39,47, FALSE)</f>
        <v>8</v>
      </c>
      <c r="S100" s="71" t="s">
        <v>92</v>
      </c>
      <c r="T100" s="71">
        <f>IF(OR(EXACT($E99,"Y"),(EXACT($F99,"Y"))),"-",IF(H101-T101&gt;1,-1,IF(H101-T101=0,1,IF(H101-T101=-1,3,IF(H101-T101=-2,4,IF(H101-T101=-3,5,0))))))</f>
        <v>0</v>
      </c>
      <c r="U100" s="71">
        <f t="shared" ref="U100:AB100" si="105">IF(OR(EXACT($E99,"Y"),(EXACT($F99,"Y"))),"-",IF(I101-U101&gt;1,-1,IF(I101-U101=0,1,IF(I101-U101=-1,3,IF(I101-U101=-2,4,IF(I101-U101=-3,5,0))))))</f>
        <v>0</v>
      </c>
      <c r="V100" s="71">
        <f t="shared" si="105"/>
        <v>0</v>
      </c>
      <c r="W100" s="71">
        <f t="shared" si="105"/>
        <v>0</v>
      </c>
      <c r="X100" s="71">
        <f t="shared" si="105"/>
        <v>0</v>
      </c>
      <c r="Y100" s="71">
        <f t="shared" si="105"/>
        <v>5</v>
      </c>
      <c r="Z100" s="71">
        <f t="shared" si="105"/>
        <v>0</v>
      </c>
      <c r="AA100" s="71">
        <f t="shared" si="105"/>
        <v>0</v>
      </c>
      <c r="AB100" s="71">
        <f t="shared" si="105"/>
        <v>0</v>
      </c>
      <c r="AC100" s="70">
        <f>IF(EXACT(E99,"Y"),6,IF(EXACT(F99,"Y"),2,SUM(T100:AB100)))</f>
        <v>5</v>
      </c>
      <c r="AD100" s="40"/>
      <c r="AE100" s="2"/>
      <c r="AH100" s="2"/>
    </row>
    <row r="101" spans="1:35" x14ac:dyDescent="0.4">
      <c r="A101" s="53"/>
      <c r="B101" s="54"/>
      <c r="C101" s="54"/>
      <c r="D101" s="54"/>
      <c r="E101" s="54"/>
      <c r="F101" s="54"/>
      <c r="G101" s="59" t="s">
        <v>93</v>
      </c>
      <c r="H101" s="60">
        <f t="shared" ref="H101:P101" si="106">IF(OR(EXACT($E99,"Y"),(EXACT($F99,"Y"))),"-",H99-H100)</f>
        <v>-1</v>
      </c>
      <c r="I101" s="60">
        <f t="shared" si="106"/>
        <v>-1</v>
      </c>
      <c r="J101" s="60">
        <f t="shared" si="106"/>
        <v>-1</v>
      </c>
      <c r="K101" s="60">
        <f t="shared" si="106"/>
        <v>-1</v>
      </c>
      <c r="L101" s="60">
        <f t="shared" si="106"/>
        <v>-1</v>
      </c>
      <c r="M101" s="60">
        <f t="shared" si="106"/>
        <v>0</v>
      </c>
      <c r="N101" s="60">
        <f t="shared" si="106"/>
        <v>-1</v>
      </c>
      <c r="O101" s="60">
        <f t="shared" si="106"/>
        <v>-1</v>
      </c>
      <c r="P101" s="60">
        <f t="shared" si="106"/>
        <v>-1</v>
      </c>
      <c r="Q101" s="61">
        <f>SUM(H101:P101)</f>
        <v>-8</v>
      </c>
      <c r="S101" s="62" t="str">
        <f>$A$12</f>
        <v>Front</v>
      </c>
      <c r="T101" s="42">
        <f t="shared" ref="T101:AB101" si="107">IF($A$12="Front",T$1,T$2)</f>
        <v>4</v>
      </c>
      <c r="U101" s="42">
        <f t="shared" si="107"/>
        <v>3</v>
      </c>
      <c r="V101" s="42">
        <f t="shared" si="107"/>
        <v>4</v>
      </c>
      <c r="W101" s="42">
        <f t="shared" si="107"/>
        <v>5</v>
      </c>
      <c r="X101" s="42">
        <f t="shared" si="107"/>
        <v>4</v>
      </c>
      <c r="Y101" s="42">
        <f t="shared" si="107"/>
        <v>3</v>
      </c>
      <c r="Z101" s="42">
        <f t="shared" si="107"/>
        <v>4</v>
      </c>
      <c r="AA101" s="42">
        <f t="shared" si="107"/>
        <v>5</v>
      </c>
      <c r="AB101" s="42">
        <f t="shared" si="107"/>
        <v>4</v>
      </c>
      <c r="AC101" s="55">
        <f>SUM(T101:AB101)</f>
        <v>36</v>
      </c>
      <c r="AD101" s="40"/>
      <c r="AE101" s="2"/>
      <c r="AH101" s="2"/>
    </row>
    <row r="102" spans="1:35" x14ac:dyDescent="0.4">
      <c r="A102" s="63" t="s">
        <v>101</v>
      </c>
      <c r="B102" s="68">
        <v>2</v>
      </c>
      <c r="C102" s="69">
        <v>4</v>
      </c>
      <c r="D102" s="68" t="str">
        <f>VLOOKUP($C102,[1]Summary!$A$4:$BL$39,4, FALSE)</f>
        <v>Mike Albano</v>
      </c>
      <c r="E102" s="69"/>
      <c r="F102" s="69"/>
      <c r="G102" s="68" t="s">
        <v>89</v>
      </c>
      <c r="H102" s="69"/>
      <c r="I102" s="69"/>
      <c r="J102" s="69"/>
      <c r="K102" s="69"/>
      <c r="L102" s="69"/>
      <c r="M102" s="69"/>
      <c r="N102" s="69"/>
      <c r="O102" s="69"/>
      <c r="P102" s="69"/>
      <c r="Q102" s="70">
        <f>SUM(H102:P102)</f>
        <v>0</v>
      </c>
      <c r="S102" s="65" t="s">
        <v>90</v>
      </c>
      <c r="T102" s="51">
        <f t="shared" ref="T102:AB102" si="108">IF(H102&gt;=T104+H103+2,SUM(T104+H103+2),H102)</f>
        <v>0</v>
      </c>
      <c r="U102" s="51">
        <f t="shared" si="108"/>
        <v>0</v>
      </c>
      <c r="V102" s="51">
        <f t="shared" si="108"/>
        <v>0</v>
      </c>
      <c r="W102" s="51">
        <f t="shared" si="108"/>
        <v>0</v>
      </c>
      <c r="X102" s="51">
        <f t="shared" si="108"/>
        <v>0</v>
      </c>
      <c r="Y102" s="51">
        <f t="shared" si="108"/>
        <v>0</v>
      </c>
      <c r="Z102" s="51">
        <f t="shared" si="108"/>
        <v>0</v>
      </c>
      <c r="AA102" s="51">
        <f t="shared" si="108"/>
        <v>0</v>
      </c>
      <c r="AB102" s="51">
        <f t="shared" si="108"/>
        <v>0</v>
      </c>
      <c r="AC102" s="61">
        <f>SUM(T102:AB102)</f>
        <v>0</v>
      </c>
      <c r="AD102" s="40"/>
      <c r="AE102" s="2"/>
      <c r="AH102" s="2"/>
    </row>
    <row r="103" spans="1:35" ht="15" thickBot="1" x14ac:dyDescent="0.45">
      <c r="A103" s="53"/>
      <c r="B103" s="54"/>
      <c r="C103" s="54"/>
      <c r="D103" s="54"/>
      <c r="E103" s="54"/>
      <c r="F103" s="54"/>
      <c r="G103" s="42" t="s">
        <v>91</v>
      </c>
      <c r="H103" s="42">
        <f>IF($A$96="Front",VLOOKUP($Q103,'[1]Handicap Chart'!$B$4:$K$40,2),VLOOKUP($Q103,'[1]Handicap Chart'!$B$4:$K$40,10))</f>
        <v>2</v>
      </c>
      <c r="I103" s="42">
        <f>IF($A$96="Front",VLOOKUP($Q103,'[1]Handicap Chart'!$B$4:$K$40,4),VLOOKUP($Q103,'[1]Handicap Chart'!$B$4:$K$40,3))</f>
        <v>1</v>
      </c>
      <c r="J103" s="42">
        <f>IF($A$96="Front",VLOOKUP($Q103,'[1]Handicap Chart'!$B$4:$K$40,8),VLOOKUP($Q103,'[1]Handicap Chart'!$B$4:$K$40,6))</f>
        <v>1</v>
      </c>
      <c r="K103" s="42">
        <f>IF($A$96="Front",VLOOKUP($Q103,'[1]Handicap Chart'!$B$4:$K$40,9),VLOOKUP($Q103,'[1]Handicap Chart'!$B$4:$K$40,5))</f>
        <v>1</v>
      </c>
      <c r="L103" s="42">
        <f>IF($A$96="Front",VLOOKUP($Q103,'[1]Handicap Chart'!$B$4:$K$40,5),VLOOKUP($Q103,'[1]Handicap Chart'!$B$4:$K$40,4))</f>
        <v>1</v>
      </c>
      <c r="M103" s="42">
        <f>IF($A$96="Front",VLOOKUP($Q103,'[1]Handicap Chart'!$B$4:$K$40,10),VLOOKUP($Q103,'[1]Handicap Chart'!$B$4:$K$40,9))</f>
        <v>1</v>
      </c>
      <c r="N103" s="42">
        <f>IF($A$96="Front",VLOOKUP($Q103,'[1]Handicap Chart'!$B$4:$K$40,3),VLOOKUP($Q103,'[1]Handicap Chart'!$B$4:$K$40,7))</f>
        <v>1</v>
      </c>
      <c r="O103" s="42">
        <f>IF($A$96="Front",VLOOKUP($Q103,'[1]Handicap Chart'!$B$4:$K$40,7),VLOOKUP($Q103,'[1]Handicap Chart'!$B$4:$K$40,8))</f>
        <v>1</v>
      </c>
      <c r="P103" s="42">
        <f>IF($A$96="Front",VLOOKUP($Q103,'[1]Handicap Chart'!$B$4:$K$40,6),VLOOKUP($Q103,'[1]Handicap Chart'!$B$4:$K$40,2))</f>
        <v>1</v>
      </c>
      <c r="Q103" s="55">
        <f>VLOOKUP($C102,[1]Summary!$A$4:$BL$39,47, FALSE)</f>
        <v>10</v>
      </c>
      <c r="S103" s="71" t="s">
        <v>92</v>
      </c>
      <c r="T103" s="71">
        <f>IF(OR(EXACT($E102,"Y"),(EXACT($F102,"Y"))),"-",IF(H104-T104&gt;1,-1,IF(H104-T104=0,1,IF(H104-T104=-1,3,IF(H104-T104=-2,4,IF(H104-T104=-3,5,0))))))</f>
        <v>0</v>
      </c>
      <c r="U103" s="71">
        <f t="shared" ref="U103:AB103" si="109">IF(OR(EXACT($E102,"Y"),(EXACT($F102,"Y"))),"-",IF(I104-U104&gt;1,-1,IF(I104-U104=0,1,IF(I104-U104=-1,3,IF(I104-U104=-2,4,IF(I104-U104=-3,5,0))))))</f>
        <v>0</v>
      </c>
      <c r="V103" s="71">
        <f t="shared" si="109"/>
        <v>0</v>
      </c>
      <c r="W103" s="71">
        <f t="shared" si="109"/>
        <v>0</v>
      </c>
      <c r="X103" s="71">
        <f t="shared" si="109"/>
        <v>0</v>
      </c>
      <c r="Y103" s="71">
        <f t="shared" si="109"/>
        <v>0</v>
      </c>
      <c r="Z103" s="71">
        <f t="shared" si="109"/>
        <v>0</v>
      </c>
      <c r="AA103" s="71">
        <f t="shared" si="109"/>
        <v>0</v>
      </c>
      <c r="AB103" s="71">
        <f t="shared" si="109"/>
        <v>0</v>
      </c>
      <c r="AC103" s="70">
        <f>IF(EXACT(E102,"Y"),6,IF(EXACT(F102,"Y"),2,SUM(T103:AB103)))</f>
        <v>0</v>
      </c>
      <c r="AD103" s="40"/>
      <c r="AE103" s="2"/>
      <c r="AH103" s="2"/>
    </row>
    <row r="104" spans="1:35" ht="15" thickBot="1" x14ac:dyDescent="0.45">
      <c r="A104" s="72"/>
      <c r="B104" s="73"/>
      <c r="C104" s="73"/>
      <c r="D104" s="73"/>
      <c r="E104" s="73"/>
      <c r="F104" s="73"/>
      <c r="G104" s="74" t="s">
        <v>93</v>
      </c>
      <c r="H104" s="60">
        <f t="shared" ref="H104:P104" si="110">IF(OR(EXACT($E102,"Y"),(EXACT($F102,"Y"))),"-",H102-H103)</f>
        <v>-2</v>
      </c>
      <c r="I104" s="60">
        <f t="shared" si="110"/>
        <v>-1</v>
      </c>
      <c r="J104" s="60">
        <f t="shared" si="110"/>
        <v>-1</v>
      </c>
      <c r="K104" s="60">
        <f t="shared" si="110"/>
        <v>-1</v>
      </c>
      <c r="L104" s="60">
        <f t="shared" si="110"/>
        <v>-1</v>
      </c>
      <c r="M104" s="60">
        <f t="shared" si="110"/>
        <v>-1</v>
      </c>
      <c r="N104" s="60">
        <f t="shared" si="110"/>
        <v>-1</v>
      </c>
      <c r="O104" s="60">
        <f t="shared" si="110"/>
        <v>-1</v>
      </c>
      <c r="P104" s="60">
        <f t="shared" si="110"/>
        <v>-1</v>
      </c>
      <c r="Q104" s="75">
        <f>SUM(H104:P104)</f>
        <v>-10</v>
      </c>
      <c r="S104" s="27" t="str">
        <f>$A$12</f>
        <v>Front</v>
      </c>
      <c r="T104" s="76">
        <f t="shared" ref="T104:AB104" si="111">IF($A$12="Front",T$1,T$2)</f>
        <v>4</v>
      </c>
      <c r="U104" s="76">
        <f t="shared" si="111"/>
        <v>3</v>
      </c>
      <c r="V104" s="76">
        <f t="shared" si="111"/>
        <v>4</v>
      </c>
      <c r="W104" s="76">
        <f t="shared" si="111"/>
        <v>5</v>
      </c>
      <c r="X104" s="76">
        <f t="shared" si="111"/>
        <v>4</v>
      </c>
      <c r="Y104" s="76">
        <f t="shared" si="111"/>
        <v>3</v>
      </c>
      <c r="Z104" s="76">
        <f t="shared" si="111"/>
        <v>4</v>
      </c>
      <c r="AA104" s="76">
        <f t="shared" si="111"/>
        <v>5</v>
      </c>
      <c r="AB104" s="76">
        <f t="shared" si="111"/>
        <v>4</v>
      </c>
      <c r="AC104" s="77">
        <f>SUM(T104:AB104)</f>
        <v>36</v>
      </c>
      <c r="AD104" s="40">
        <f>B99</f>
        <v>2</v>
      </c>
      <c r="AE104" s="78">
        <f>AC100+AC103</f>
        <v>5</v>
      </c>
      <c r="AF104" s="78">
        <f>IF(AC100&gt;=AC94,IF(AC100&gt;AC94,IF(AC103&gt;=AC97,IF(AC103&gt;AC97,4,3),2),IF(AC103&gt;=AC97,IF(AC103&gt;AC97,3,2),IF(AC103&gt;=AC97,IF(AC103&gt;AC97,2,1),1))),IF(AC103&gt;=AC97,IF(AC103&gt;AC97,2,1),0))</f>
        <v>2</v>
      </c>
      <c r="AG104" s="78">
        <f>IF(AE104&gt;AE98,4,IF(AE104=AE98,2,0))</f>
        <v>2</v>
      </c>
      <c r="AH104" s="79">
        <v>8</v>
      </c>
      <c r="AI104" s="79">
        <f>SUM(AF104:AH104)</f>
        <v>12</v>
      </c>
    </row>
    <row r="105" spans="1:35" ht="15" thickBo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40"/>
      <c r="AE105" s="2"/>
      <c r="AH105" s="2"/>
    </row>
    <row r="106" spans="1:35" ht="15" thickBot="1" x14ac:dyDescent="0.45">
      <c r="A106" s="42" t="s">
        <v>82</v>
      </c>
      <c r="B106" s="42" t="s">
        <v>0</v>
      </c>
      <c r="C106" s="42" t="s">
        <v>6</v>
      </c>
      <c r="D106" s="42" t="s">
        <v>84</v>
      </c>
      <c r="E106" s="42" t="s">
        <v>85</v>
      </c>
      <c r="F106" s="42" t="s">
        <v>86</v>
      </c>
      <c r="G106" s="42"/>
      <c r="H106" s="42">
        <v>1</v>
      </c>
      <c r="I106" s="42">
        <v>2</v>
      </c>
      <c r="J106" s="42">
        <v>3</v>
      </c>
      <c r="K106" s="42">
        <v>4</v>
      </c>
      <c r="L106" s="42">
        <v>5</v>
      </c>
      <c r="M106" s="42">
        <v>6</v>
      </c>
      <c r="N106" s="42">
        <v>7</v>
      </c>
      <c r="O106" s="42">
        <v>8</v>
      </c>
      <c r="P106" s="42">
        <v>9</v>
      </c>
      <c r="Q106" s="42" t="s">
        <v>87</v>
      </c>
      <c r="S106" s="43" t="s">
        <v>88</v>
      </c>
      <c r="T106" s="44">
        <v>1</v>
      </c>
      <c r="U106" s="44">
        <v>2</v>
      </c>
      <c r="V106" s="44">
        <v>3</v>
      </c>
      <c r="W106" s="44">
        <v>4</v>
      </c>
      <c r="X106" s="44">
        <v>5</v>
      </c>
      <c r="Y106" s="44">
        <v>6</v>
      </c>
      <c r="Z106" s="44">
        <v>7</v>
      </c>
      <c r="AA106" s="44">
        <v>8</v>
      </c>
      <c r="AB106" s="44">
        <v>9</v>
      </c>
      <c r="AC106" s="45" t="s">
        <v>4</v>
      </c>
      <c r="AD106" s="40"/>
      <c r="AE106" s="2"/>
      <c r="AH106" s="2"/>
    </row>
    <row r="107" spans="1:35" x14ac:dyDescent="0.4">
      <c r="A107" s="46">
        <v>2</v>
      </c>
      <c r="B107" s="47">
        <v>17</v>
      </c>
      <c r="C107" s="48">
        <v>34</v>
      </c>
      <c r="D107" s="47" t="str">
        <f>VLOOKUP($C107,[1]Summary!$A$4:$BL$39,4, FALSE)</f>
        <v>Aret Minasian</v>
      </c>
      <c r="E107" s="48"/>
      <c r="F107" s="48"/>
      <c r="G107" s="47" t="s">
        <v>89</v>
      </c>
      <c r="H107" s="48"/>
      <c r="I107" s="48"/>
      <c r="J107" s="48"/>
      <c r="K107" s="48"/>
      <c r="L107" s="48"/>
      <c r="M107" s="48"/>
      <c r="N107" s="48"/>
      <c r="O107" s="48"/>
      <c r="P107" s="48"/>
      <c r="Q107" s="49">
        <f>SUM(H107:P107)</f>
        <v>0</v>
      </c>
      <c r="S107" s="50" t="s">
        <v>90</v>
      </c>
      <c r="T107" s="51">
        <f t="shared" ref="T107:AB107" si="112">IF(H107&gt;=T109+H108+2,SUM(T109+H108+2),H107)</f>
        <v>0</v>
      </c>
      <c r="U107" s="51">
        <f t="shared" si="112"/>
        <v>0</v>
      </c>
      <c r="V107" s="51">
        <f t="shared" si="112"/>
        <v>0</v>
      </c>
      <c r="W107" s="51">
        <f t="shared" si="112"/>
        <v>0</v>
      </c>
      <c r="X107" s="51">
        <f t="shared" si="112"/>
        <v>0</v>
      </c>
      <c r="Y107" s="51">
        <f t="shared" si="112"/>
        <v>0</v>
      </c>
      <c r="Z107" s="51">
        <f t="shared" si="112"/>
        <v>0</v>
      </c>
      <c r="AA107" s="51">
        <f t="shared" si="112"/>
        <v>0</v>
      </c>
      <c r="AB107" s="51">
        <f t="shared" si="112"/>
        <v>0</v>
      </c>
      <c r="AC107" s="52">
        <f>SUM(T107:AB107)</f>
        <v>0</v>
      </c>
      <c r="AD107" s="40"/>
      <c r="AE107" s="2"/>
      <c r="AH107" s="2"/>
    </row>
    <row r="108" spans="1:35" x14ac:dyDescent="0.4">
      <c r="A108" s="53"/>
      <c r="B108" s="54"/>
      <c r="C108" s="54"/>
      <c r="D108" s="54"/>
      <c r="E108" s="54"/>
      <c r="F108" s="54"/>
      <c r="G108" s="42" t="s">
        <v>91</v>
      </c>
      <c r="H108" s="42">
        <f>IF($A$110="Front",VLOOKUP($Q108,'[1]Handicap Chart'!$B$4:$K$40,2),VLOOKUP($Q108,'[1]Handicap Chart'!$B$4:$K$40,10))</f>
        <v>1</v>
      </c>
      <c r="I108" s="42">
        <f>IF($A$110="Front",VLOOKUP($Q108,'[1]Handicap Chart'!$B$4:$K$40,4),VLOOKUP($Q108,'[1]Handicap Chart'!$B$4:$K$40,3))</f>
        <v>1</v>
      </c>
      <c r="J108" s="42">
        <f>IF($A$110="Front",VLOOKUP($Q108,'[1]Handicap Chart'!$B$4:$K$40,8),VLOOKUP($Q108,'[1]Handicap Chart'!$B$4:$K$40,6))</f>
        <v>1</v>
      </c>
      <c r="K108" s="42">
        <f>IF($A$110="Front",VLOOKUP($Q108,'[1]Handicap Chart'!$B$4:$K$40,9),VLOOKUP($Q108,'[1]Handicap Chart'!$B$4:$K$40,5))</f>
        <v>1</v>
      </c>
      <c r="L108" s="42">
        <f>IF($A$110="Front",VLOOKUP($Q108,'[1]Handicap Chart'!$B$4:$K$40,5),VLOOKUP($Q108,'[1]Handicap Chart'!$B$4:$K$40,4))</f>
        <v>1</v>
      </c>
      <c r="M108" s="42">
        <f>IF($A$110="Front",VLOOKUP($Q108,'[1]Handicap Chart'!$B$4:$K$40,10),VLOOKUP($Q108,'[1]Handicap Chart'!$B$4:$K$40,9))</f>
        <v>0</v>
      </c>
      <c r="N108" s="42">
        <f>IF($A$110="Front",VLOOKUP($Q108,'[1]Handicap Chart'!$B$4:$K$40,3),VLOOKUP($Q108,'[1]Handicap Chart'!$B$4:$K$40,7))</f>
        <v>1</v>
      </c>
      <c r="O108" s="42">
        <f>IF($A$110="Front",VLOOKUP($Q108,'[1]Handicap Chart'!$B$4:$K$40,7),VLOOKUP($Q108,'[1]Handicap Chart'!$B$4:$K$40,8))</f>
        <v>1</v>
      </c>
      <c r="P108" s="42">
        <f>IF($A$110="Front",VLOOKUP($Q108,'[1]Handicap Chart'!$B$4:$K$40,6),VLOOKUP($Q108,'[1]Handicap Chart'!$B$4:$K$40,2))</f>
        <v>1</v>
      </c>
      <c r="Q108" s="55">
        <f>VLOOKUP($C107,[1]Summary!$A$4:$BL$39,47, FALSE)</f>
        <v>8</v>
      </c>
      <c r="S108" s="56" t="s">
        <v>92</v>
      </c>
      <c r="T108" s="57">
        <f>IF(OR(EXACT($E107,"Y"),(EXACT($F107,"Y"))),"-",IF(H109-T109&gt;1,-1,IF(H109-T109=0,1,IF(H109-T109=-1,3,IF(H109-T109=-2,4,IF(H109-T109=-3,5,0))))))</f>
        <v>0</v>
      </c>
      <c r="U108" s="57">
        <f t="shared" ref="U108:AB108" si="113">IF(OR(EXACT($E107,"Y"),(EXACT($F107,"Y"))),"-",IF(I109-U109&gt;1,-1,IF(I109-U109=0,1,IF(I109-U109=-1,3,IF(I109-U109=-2,4,IF(I109-U109=-3,5,0))))))</f>
        <v>0</v>
      </c>
      <c r="V108" s="57">
        <f t="shared" si="113"/>
        <v>0</v>
      </c>
      <c r="W108" s="57">
        <f t="shared" si="113"/>
        <v>0</v>
      </c>
      <c r="X108" s="57">
        <f t="shared" si="113"/>
        <v>0</v>
      </c>
      <c r="Y108" s="57">
        <f t="shared" si="113"/>
        <v>5</v>
      </c>
      <c r="Z108" s="57">
        <f t="shared" si="113"/>
        <v>0</v>
      </c>
      <c r="AA108" s="57">
        <f t="shared" si="113"/>
        <v>0</v>
      </c>
      <c r="AB108" s="57">
        <f t="shared" si="113"/>
        <v>0</v>
      </c>
      <c r="AC108" s="58">
        <f>IF(EXACT(E107,"Y"),6,IF(EXACT(F107,"Y"),2,SUM(T108:AB108)))</f>
        <v>5</v>
      </c>
      <c r="AD108" s="40"/>
      <c r="AE108" s="2"/>
      <c r="AH108" s="2"/>
    </row>
    <row r="109" spans="1:35" ht="15" thickBot="1" x14ac:dyDescent="0.45">
      <c r="A109" s="53"/>
      <c r="B109" s="54"/>
      <c r="C109" s="54"/>
      <c r="D109" s="54"/>
      <c r="E109" s="54"/>
      <c r="F109" s="54"/>
      <c r="G109" s="59" t="s">
        <v>93</v>
      </c>
      <c r="H109" s="60">
        <f t="shared" ref="H109:P109" si="114">IF(OR(EXACT($E107,"Y"),(EXACT($F107,"Y"))),"-",H107-H108)</f>
        <v>-1</v>
      </c>
      <c r="I109" s="60">
        <f t="shared" si="114"/>
        <v>-1</v>
      </c>
      <c r="J109" s="60">
        <f t="shared" si="114"/>
        <v>-1</v>
      </c>
      <c r="K109" s="60">
        <f t="shared" si="114"/>
        <v>-1</v>
      </c>
      <c r="L109" s="60">
        <f t="shared" si="114"/>
        <v>-1</v>
      </c>
      <c r="M109" s="60">
        <f t="shared" si="114"/>
        <v>0</v>
      </c>
      <c r="N109" s="60">
        <f t="shared" si="114"/>
        <v>-1</v>
      </c>
      <c r="O109" s="60">
        <f t="shared" si="114"/>
        <v>-1</v>
      </c>
      <c r="P109" s="60">
        <f t="shared" si="114"/>
        <v>-1</v>
      </c>
      <c r="Q109" s="61">
        <f>SUM(H109:P109)</f>
        <v>-8</v>
      </c>
      <c r="S109" s="62" t="str">
        <f>$A$110</f>
        <v>Front</v>
      </c>
      <c r="T109" s="42">
        <f t="shared" ref="T109:AB109" si="115">IF($A$110="Front",T$1,T$2)</f>
        <v>4</v>
      </c>
      <c r="U109" s="42">
        <f t="shared" si="115"/>
        <v>3</v>
      </c>
      <c r="V109" s="42">
        <f t="shared" si="115"/>
        <v>4</v>
      </c>
      <c r="W109" s="42">
        <f t="shared" si="115"/>
        <v>5</v>
      </c>
      <c r="X109" s="42">
        <f t="shared" si="115"/>
        <v>4</v>
      </c>
      <c r="Y109" s="42">
        <f t="shared" si="115"/>
        <v>3</v>
      </c>
      <c r="Z109" s="42">
        <f t="shared" si="115"/>
        <v>4</v>
      </c>
      <c r="AA109" s="42">
        <f t="shared" si="115"/>
        <v>5</v>
      </c>
      <c r="AB109" s="42">
        <f t="shared" si="115"/>
        <v>4</v>
      </c>
      <c r="AC109" s="55">
        <f>SUM(T109:AB109)</f>
        <v>36</v>
      </c>
      <c r="AD109" s="40"/>
      <c r="AE109" s="2"/>
      <c r="AH109" s="2"/>
    </row>
    <row r="110" spans="1:35" x14ac:dyDescent="0.4">
      <c r="A110" s="63" t="s">
        <v>74</v>
      </c>
      <c r="B110" s="57">
        <v>17</v>
      </c>
      <c r="C110" s="64">
        <v>33</v>
      </c>
      <c r="D110" s="47" t="str">
        <f>VLOOKUP($C110,[1]Summary!$A$4:$BL$39,4, FALSE)</f>
        <v>Russ Posey</v>
      </c>
      <c r="E110" s="64"/>
      <c r="F110" s="64"/>
      <c r="G110" s="57" t="s">
        <v>89</v>
      </c>
      <c r="H110" s="64"/>
      <c r="I110" s="64"/>
      <c r="J110" s="64"/>
      <c r="K110" s="64"/>
      <c r="L110" s="64"/>
      <c r="M110" s="64"/>
      <c r="N110" s="64"/>
      <c r="O110" s="64"/>
      <c r="P110" s="64"/>
      <c r="Q110" s="49">
        <f>SUM(H110:P110)</f>
        <v>0</v>
      </c>
      <c r="S110" s="65" t="s">
        <v>90</v>
      </c>
      <c r="T110" s="51">
        <f t="shared" ref="T110:AB110" si="116">IF(H110&gt;=T112+H111+2,SUM(T112+H111+2),H110)</f>
        <v>0</v>
      </c>
      <c r="U110" s="51">
        <f t="shared" si="116"/>
        <v>0</v>
      </c>
      <c r="V110" s="51">
        <f t="shared" si="116"/>
        <v>0</v>
      </c>
      <c r="W110" s="51">
        <f t="shared" si="116"/>
        <v>0</v>
      </c>
      <c r="X110" s="51">
        <f t="shared" si="116"/>
        <v>0</v>
      </c>
      <c r="Y110" s="51">
        <f t="shared" si="116"/>
        <v>0</v>
      </c>
      <c r="Z110" s="51">
        <f t="shared" si="116"/>
        <v>0</v>
      </c>
      <c r="AA110" s="51">
        <f t="shared" si="116"/>
        <v>0</v>
      </c>
      <c r="AB110" s="51">
        <f t="shared" si="116"/>
        <v>0</v>
      </c>
      <c r="AC110" s="61">
        <f>SUM(T110:AB110)</f>
        <v>0</v>
      </c>
      <c r="AD110" s="40"/>
      <c r="AE110" s="2"/>
      <c r="AH110" s="2"/>
    </row>
    <row r="111" spans="1:35" ht="15" thickBot="1" x14ac:dyDescent="0.45">
      <c r="A111" s="53"/>
      <c r="B111" s="54"/>
      <c r="C111" s="54"/>
      <c r="D111" s="54"/>
      <c r="E111" s="54"/>
      <c r="F111" s="54"/>
      <c r="G111" s="42" t="s">
        <v>91</v>
      </c>
      <c r="H111" s="42">
        <f>IF($A$110="Front",VLOOKUP($Q111,'[1]Handicap Chart'!$B$4:$K$40,2),VLOOKUP($Q111,'[1]Handicap Chart'!$B$4:$K$40,10))</f>
        <v>2</v>
      </c>
      <c r="I111" s="42">
        <f>IF($A$110="Front",VLOOKUP($Q111,'[1]Handicap Chart'!$B$4:$K$40,4),VLOOKUP($Q111,'[1]Handicap Chart'!$B$4:$K$40,3))</f>
        <v>1</v>
      </c>
      <c r="J111" s="42">
        <f>IF($A$110="Front",VLOOKUP($Q111,'[1]Handicap Chart'!$B$4:$K$40,8),VLOOKUP($Q111,'[1]Handicap Chart'!$B$4:$K$40,6))</f>
        <v>1</v>
      </c>
      <c r="K111" s="42">
        <f>IF($A$110="Front",VLOOKUP($Q111,'[1]Handicap Chart'!$B$4:$K$40,9),VLOOKUP($Q111,'[1]Handicap Chart'!$B$4:$K$40,5))</f>
        <v>1</v>
      </c>
      <c r="L111" s="42">
        <f>IF($A$110="Front",VLOOKUP($Q111,'[1]Handicap Chart'!$B$4:$K$40,5),VLOOKUP($Q111,'[1]Handicap Chart'!$B$4:$K$40,4))</f>
        <v>1</v>
      </c>
      <c r="M111" s="42">
        <f>IF($A$110="Front",VLOOKUP($Q111,'[1]Handicap Chart'!$B$4:$K$40,10),VLOOKUP($Q111,'[1]Handicap Chart'!$B$4:$K$40,9))</f>
        <v>1</v>
      </c>
      <c r="N111" s="42">
        <f>IF($A$110="Front",VLOOKUP($Q111,'[1]Handicap Chart'!$B$4:$K$40,3),VLOOKUP($Q111,'[1]Handicap Chart'!$B$4:$K$40,7))</f>
        <v>1</v>
      </c>
      <c r="O111" s="42">
        <f>IF($A$110="Front",VLOOKUP($Q111,'[1]Handicap Chart'!$B$4:$K$40,7),VLOOKUP($Q111,'[1]Handicap Chart'!$B$4:$K$40,8))</f>
        <v>1</v>
      </c>
      <c r="P111" s="42">
        <f>IF($A$110="Front",VLOOKUP($Q111,'[1]Handicap Chart'!$B$4:$K$40,6),VLOOKUP($Q111,'[1]Handicap Chart'!$B$4:$K$40,2))</f>
        <v>1</v>
      </c>
      <c r="Q111" s="55">
        <f>VLOOKUP($C110,[1]Summary!$A$4:$BL$39,47, FALSE)</f>
        <v>10</v>
      </c>
      <c r="S111" s="56" t="s">
        <v>92</v>
      </c>
      <c r="T111" s="57">
        <f>IF(OR(EXACT($E110,"Y"),(EXACT($F110,"Y"))),"-",IF(H112-T112&gt;1,-1,IF(H112-T112=0,1,IF(H112-T112=-1,3,IF(H112-T112=-2,4,IF(H112-T112=-3,5,0))))))</f>
        <v>0</v>
      </c>
      <c r="U111" s="57">
        <f t="shared" ref="U111:AB111" si="117">IF(OR(EXACT($E110,"Y"),(EXACT($F110,"Y"))),"-",IF(I112-U112&gt;1,-1,IF(I112-U112=0,1,IF(I112-U112=-1,3,IF(I112-U112=-2,4,IF(I112-U112=-3,5,0))))))</f>
        <v>0</v>
      </c>
      <c r="V111" s="57">
        <f t="shared" si="117"/>
        <v>0</v>
      </c>
      <c r="W111" s="57">
        <f t="shared" si="117"/>
        <v>0</v>
      </c>
      <c r="X111" s="57">
        <f t="shared" si="117"/>
        <v>0</v>
      </c>
      <c r="Y111" s="57">
        <f t="shared" si="117"/>
        <v>0</v>
      </c>
      <c r="Z111" s="57">
        <f t="shared" si="117"/>
        <v>0</v>
      </c>
      <c r="AA111" s="57">
        <f t="shared" si="117"/>
        <v>0</v>
      </c>
      <c r="AB111" s="57">
        <f t="shared" si="117"/>
        <v>0</v>
      </c>
      <c r="AC111" s="58">
        <f>IF(EXACT(E110,"Y"),6,IF(EXACT(F110,"Y"),2,SUM(T111:AB111)))</f>
        <v>0</v>
      </c>
      <c r="AD111" s="40"/>
      <c r="AE111" s="2"/>
      <c r="AH111" s="2"/>
    </row>
    <row r="112" spans="1:35" ht="15" thickBot="1" x14ac:dyDescent="0.45">
      <c r="A112" s="53"/>
      <c r="B112" s="54"/>
      <c r="C112" s="54"/>
      <c r="D112" s="54"/>
      <c r="E112" s="54"/>
      <c r="F112" s="54"/>
      <c r="G112" s="59" t="s">
        <v>93</v>
      </c>
      <c r="H112" s="60">
        <f t="shared" ref="H112:P112" si="118">IF(OR(EXACT($E110,"Y"),(EXACT($F110,"Y"))),"-",H110-H111)</f>
        <v>-2</v>
      </c>
      <c r="I112" s="60">
        <f t="shared" si="118"/>
        <v>-1</v>
      </c>
      <c r="J112" s="60">
        <f t="shared" si="118"/>
        <v>-1</v>
      </c>
      <c r="K112" s="60">
        <f t="shared" si="118"/>
        <v>-1</v>
      </c>
      <c r="L112" s="60">
        <f t="shared" si="118"/>
        <v>-1</v>
      </c>
      <c r="M112" s="60">
        <f t="shared" si="118"/>
        <v>-1</v>
      </c>
      <c r="N112" s="60">
        <f t="shared" si="118"/>
        <v>-1</v>
      </c>
      <c r="O112" s="60">
        <f t="shared" si="118"/>
        <v>-1</v>
      </c>
      <c r="P112" s="60">
        <f t="shared" si="118"/>
        <v>-1</v>
      </c>
      <c r="Q112" s="61">
        <f>SUM(H112:P112)</f>
        <v>-10</v>
      </c>
      <c r="S112" s="62" t="str">
        <f>$A$110</f>
        <v>Front</v>
      </c>
      <c r="T112" s="42">
        <f t="shared" ref="T112:AB112" si="119">IF($A$110="Front",T$1,T$2)</f>
        <v>4</v>
      </c>
      <c r="U112" s="42">
        <f t="shared" si="119"/>
        <v>3</v>
      </c>
      <c r="V112" s="42">
        <f t="shared" si="119"/>
        <v>4</v>
      </c>
      <c r="W112" s="42">
        <f t="shared" si="119"/>
        <v>5</v>
      </c>
      <c r="X112" s="42">
        <f t="shared" si="119"/>
        <v>4</v>
      </c>
      <c r="Y112" s="42">
        <f t="shared" si="119"/>
        <v>3</v>
      </c>
      <c r="Z112" s="42">
        <f t="shared" si="119"/>
        <v>4</v>
      </c>
      <c r="AA112" s="42">
        <f t="shared" si="119"/>
        <v>5</v>
      </c>
      <c r="AB112" s="42">
        <f t="shared" si="119"/>
        <v>4</v>
      </c>
      <c r="AC112" s="55">
        <f>SUM(T112:AB112)</f>
        <v>36</v>
      </c>
      <c r="AD112" s="40">
        <f>B107</f>
        <v>17</v>
      </c>
      <c r="AE112" s="80">
        <f>AC108+AC111</f>
        <v>5</v>
      </c>
      <c r="AF112" s="66">
        <f>IF(AC108&gt;=AC114,IF(AC108&gt;AC114,IF(AC111&gt;=AC117,IF(AC111&gt;AC117,4,3),2),IF(AC111&gt;=AC117,IF(AC111&gt;AC117,3,2),IF(AC111&gt;=AC117,IF(AC111&gt;AC117,2,1),1))),IF(AC111&gt;=AC117,IF(AC111&gt;AC117,2,1),0))</f>
        <v>2</v>
      </c>
      <c r="AG112" s="66">
        <f>IF(AE112&gt;AE118,4,IF(AE112=AE118,2,0))</f>
        <v>2</v>
      </c>
      <c r="AH112" s="67">
        <v>6</v>
      </c>
      <c r="AI112" s="67">
        <f>SUM(AF112:AH112)</f>
        <v>10</v>
      </c>
    </row>
    <row r="113" spans="1:35" x14ac:dyDescent="0.4">
      <c r="A113" s="63" t="s">
        <v>94</v>
      </c>
      <c r="B113" s="68">
        <v>5</v>
      </c>
      <c r="C113" s="69">
        <v>9</v>
      </c>
      <c r="D113" s="68" t="str">
        <f>VLOOKUP($C113,[1]Summary!$A$4:$BL$39,4, FALSE)</f>
        <v>Jack Carickhoff</v>
      </c>
      <c r="E113" s="69"/>
      <c r="F113" s="69"/>
      <c r="G113" s="68" t="s">
        <v>89</v>
      </c>
      <c r="H113" s="69"/>
      <c r="I113" s="69"/>
      <c r="J113" s="69"/>
      <c r="K113" s="69"/>
      <c r="L113" s="69"/>
      <c r="M113" s="69"/>
      <c r="N113" s="69"/>
      <c r="O113" s="69"/>
      <c r="P113" s="69"/>
      <c r="Q113" s="70">
        <f>SUM(H113:P113)</f>
        <v>0</v>
      </c>
      <c r="S113" s="65" t="s">
        <v>90</v>
      </c>
      <c r="T113" s="51">
        <f t="shared" ref="T113:AB113" si="120">IF(H113&gt;=T115+H114+2,SUM(T115+H114+2),H113)</f>
        <v>0</v>
      </c>
      <c r="U113" s="51">
        <f t="shared" si="120"/>
        <v>0</v>
      </c>
      <c r="V113" s="51">
        <f t="shared" si="120"/>
        <v>0</v>
      </c>
      <c r="W113" s="51">
        <f t="shared" si="120"/>
        <v>0</v>
      </c>
      <c r="X113" s="51">
        <f t="shared" si="120"/>
        <v>0</v>
      </c>
      <c r="Y113" s="51">
        <f t="shared" si="120"/>
        <v>0</v>
      </c>
      <c r="Z113" s="51">
        <f t="shared" si="120"/>
        <v>0</v>
      </c>
      <c r="AA113" s="51">
        <f t="shared" si="120"/>
        <v>0</v>
      </c>
      <c r="AB113" s="51">
        <f t="shared" si="120"/>
        <v>0</v>
      </c>
      <c r="AC113" s="61">
        <f>SUM(T113:AB113)</f>
        <v>0</v>
      </c>
      <c r="AD113" s="40"/>
      <c r="AE113" s="2"/>
      <c r="AH113" s="2"/>
    </row>
    <row r="114" spans="1:35" x14ac:dyDescent="0.4">
      <c r="A114" s="53"/>
      <c r="B114" s="54"/>
      <c r="C114" s="54"/>
      <c r="D114" s="54"/>
      <c r="E114" s="54"/>
      <c r="F114" s="54"/>
      <c r="G114" s="42" t="s">
        <v>91</v>
      </c>
      <c r="H114" s="42">
        <f>IF($A$110="Front",VLOOKUP($Q114,'[1]Handicap Chart'!$B$4:$K$40,2),VLOOKUP($Q114,'[1]Handicap Chart'!$B$4:$K$40,10))</f>
        <v>1</v>
      </c>
      <c r="I114" s="42">
        <f>IF($A$110="Front",VLOOKUP($Q114,'[1]Handicap Chart'!$B$4:$K$40,4),VLOOKUP($Q114,'[1]Handicap Chart'!$B$4:$K$40,3))</f>
        <v>1</v>
      </c>
      <c r="J114" s="42">
        <f>IF($A$110="Front",VLOOKUP($Q114,'[1]Handicap Chart'!$B$4:$K$40,8),VLOOKUP($Q114,'[1]Handicap Chart'!$B$4:$K$40,6))</f>
        <v>0</v>
      </c>
      <c r="K114" s="42">
        <f>IF($A$110="Front",VLOOKUP($Q114,'[1]Handicap Chart'!$B$4:$K$40,9),VLOOKUP($Q114,'[1]Handicap Chart'!$B$4:$K$40,5))</f>
        <v>0</v>
      </c>
      <c r="L114" s="42">
        <f>IF($A$110="Front",VLOOKUP($Q114,'[1]Handicap Chart'!$B$4:$K$40,5),VLOOKUP($Q114,'[1]Handicap Chart'!$B$4:$K$40,4))</f>
        <v>0</v>
      </c>
      <c r="M114" s="42">
        <f>IF($A$110="Front",VLOOKUP($Q114,'[1]Handicap Chart'!$B$4:$K$40,10),VLOOKUP($Q114,'[1]Handicap Chart'!$B$4:$K$40,9))</f>
        <v>0</v>
      </c>
      <c r="N114" s="42">
        <f>IF($A$110="Front",VLOOKUP($Q114,'[1]Handicap Chart'!$B$4:$K$40,3),VLOOKUP($Q114,'[1]Handicap Chart'!$B$4:$K$40,7))</f>
        <v>1</v>
      </c>
      <c r="O114" s="42">
        <f>IF($A$110="Front",VLOOKUP($Q114,'[1]Handicap Chart'!$B$4:$K$40,7),VLOOKUP($Q114,'[1]Handicap Chart'!$B$4:$K$40,8))</f>
        <v>0</v>
      </c>
      <c r="P114" s="42">
        <f>IF($A$110="Front",VLOOKUP($Q114,'[1]Handicap Chart'!$B$4:$K$40,6),VLOOKUP($Q114,'[1]Handicap Chart'!$B$4:$K$40,2))</f>
        <v>0</v>
      </c>
      <c r="Q114" s="55">
        <f>VLOOKUP($C113,[1]Summary!$A$4:$BL$39,47, FALSE)</f>
        <v>3</v>
      </c>
      <c r="S114" s="71" t="s">
        <v>92</v>
      </c>
      <c r="T114" s="71">
        <f>IF(OR(EXACT($E113,"Y"),(EXACT($F113,"Y"))),"-",IF(H115-T115&gt;1,-1,IF(H115-T115=0,1,IF(H115-T115=-1,3,IF(H115-T115=-2,4,IF(H115-T115=-3,5,0))))))</f>
        <v>0</v>
      </c>
      <c r="U114" s="71">
        <f t="shared" ref="U114:AB114" si="121">IF(OR(EXACT($E113,"Y"),(EXACT($F113,"Y"))),"-",IF(I115-U115&gt;1,-1,IF(I115-U115=0,1,IF(I115-U115=-1,3,IF(I115-U115=-2,4,IF(I115-U115=-3,5,0))))))</f>
        <v>0</v>
      </c>
      <c r="V114" s="71">
        <f t="shared" si="121"/>
        <v>0</v>
      </c>
      <c r="W114" s="71">
        <f t="shared" si="121"/>
        <v>0</v>
      </c>
      <c r="X114" s="71">
        <f t="shared" si="121"/>
        <v>0</v>
      </c>
      <c r="Y114" s="71">
        <f t="shared" si="121"/>
        <v>5</v>
      </c>
      <c r="Z114" s="71">
        <f t="shared" si="121"/>
        <v>0</v>
      </c>
      <c r="AA114" s="71">
        <f t="shared" si="121"/>
        <v>0</v>
      </c>
      <c r="AB114" s="71">
        <f t="shared" si="121"/>
        <v>0</v>
      </c>
      <c r="AC114" s="70">
        <f>IF(EXACT(E113,"Y"),6,IF(EXACT(F113,"Y"),2,SUM(T114:AB114)))</f>
        <v>5</v>
      </c>
      <c r="AD114" s="40"/>
      <c r="AE114" s="2"/>
      <c r="AH114" s="2"/>
    </row>
    <row r="115" spans="1:35" x14ac:dyDescent="0.4">
      <c r="A115" s="53"/>
      <c r="B115" s="54"/>
      <c r="C115" s="54"/>
      <c r="D115" s="54"/>
      <c r="E115" s="54"/>
      <c r="F115" s="54"/>
      <c r="G115" s="59" t="s">
        <v>93</v>
      </c>
      <c r="H115" s="60">
        <f t="shared" ref="H115:P115" si="122">IF(OR(EXACT($E113,"Y"),(EXACT($F113,"Y"))),"-",H113-H114)</f>
        <v>-1</v>
      </c>
      <c r="I115" s="60">
        <f t="shared" si="122"/>
        <v>-1</v>
      </c>
      <c r="J115" s="60">
        <f t="shared" si="122"/>
        <v>0</v>
      </c>
      <c r="K115" s="60">
        <f t="shared" si="122"/>
        <v>0</v>
      </c>
      <c r="L115" s="60">
        <f t="shared" si="122"/>
        <v>0</v>
      </c>
      <c r="M115" s="60">
        <f t="shared" si="122"/>
        <v>0</v>
      </c>
      <c r="N115" s="60">
        <f t="shared" si="122"/>
        <v>-1</v>
      </c>
      <c r="O115" s="60">
        <f t="shared" si="122"/>
        <v>0</v>
      </c>
      <c r="P115" s="60">
        <f t="shared" si="122"/>
        <v>0</v>
      </c>
      <c r="Q115" s="61">
        <f>SUM(H115:P115)</f>
        <v>-3</v>
      </c>
      <c r="S115" s="62" t="str">
        <f>$A$110</f>
        <v>Front</v>
      </c>
      <c r="T115" s="42">
        <f t="shared" ref="T115:AB115" si="123">IF($A$110="Front",T$1,T$2)</f>
        <v>4</v>
      </c>
      <c r="U115" s="42">
        <f t="shared" si="123"/>
        <v>3</v>
      </c>
      <c r="V115" s="42">
        <f t="shared" si="123"/>
        <v>4</v>
      </c>
      <c r="W115" s="42">
        <f t="shared" si="123"/>
        <v>5</v>
      </c>
      <c r="X115" s="42">
        <f t="shared" si="123"/>
        <v>4</v>
      </c>
      <c r="Y115" s="42">
        <f t="shared" si="123"/>
        <v>3</v>
      </c>
      <c r="Z115" s="42">
        <f t="shared" si="123"/>
        <v>4</v>
      </c>
      <c r="AA115" s="42">
        <f t="shared" si="123"/>
        <v>5</v>
      </c>
      <c r="AB115" s="42">
        <f t="shared" si="123"/>
        <v>4</v>
      </c>
      <c r="AC115" s="55">
        <f>SUM(T115:AB115)</f>
        <v>36</v>
      </c>
      <c r="AD115" s="40"/>
      <c r="AE115" s="2"/>
      <c r="AH115" s="2"/>
    </row>
    <row r="116" spans="1:35" x14ac:dyDescent="0.4">
      <c r="A116" s="63" t="s">
        <v>102</v>
      </c>
      <c r="B116" s="68">
        <v>5</v>
      </c>
      <c r="C116" s="69">
        <v>10</v>
      </c>
      <c r="D116" s="68" t="str">
        <f>VLOOKUP($C116,[1]Summary!$A$4:$BL$39,4, FALSE)</f>
        <v>Mike Celenza</v>
      </c>
      <c r="E116" s="69"/>
      <c r="F116" s="69"/>
      <c r="G116" s="68" t="s">
        <v>89</v>
      </c>
      <c r="H116" s="69"/>
      <c r="I116" s="69"/>
      <c r="J116" s="69"/>
      <c r="K116" s="69"/>
      <c r="L116" s="69"/>
      <c r="M116" s="69"/>
      <c r="N116" s="69"/>
      <c r="O116" s="69"/>
      <c r="P116" s="69"/>
      <c r="Q116" s="70">
        <f>SUM(H116:P116)</f>
        <v>0</v>
      </c>
      <c r="S116" s="65" t="s">
        <v>90</v>
      </c>
      <c r="T116" s="51">
        <f t="shared" ref="T116:AB116" si="124">IF(H116&gt;=T118+H117+2,SUM(T118+H117+2),H116)</f>
        <v>0</v>
      </c>
      <c r="U116" s="51">
        <f t="shared" si="124"/>
        <v>0</v>
      </c>
      <c r="V116" s="51">
        <f t="shared" si="124"/>
        <v>0</v>
      </c>
      <c r="W116" s="51">
        <f t="shared" si="124"/>
        <v>0</v>
      </c>
      <c r="X116" s="51">
        <f t="shared" si="124"/>
        <v>0</v>
      </c>
      <c r="Y116" s="51">
        <f t="shared" si="124"/>
        <v>0</v>
      </c>
      <c r="Z116" s="51">
        <f t="shared" si="124"/>
        <v>0</v>
      </c>
      <c r="AA116" s="51">
        <f t="shared" si="124"/>
        <v>0</v>
      </c>
      <c r="AB116" s="51">
        <f t="shared" si="124"/>
        <v>0</v>
      </c>
      <c r="AC116" s="61">
        <f>SUM(T116:AB116)</f>
        <v>0</v>
      </c>
      <c r="AD116" s="40"/>
      <c r="AE116" s="2"/>
      <c r="AH116" s="2"/>
    </row>
    <row r="117" spans="1:35" ht="15" thickBot="1" x14ac:dyDescent="0.45">
      <c r="A117" s="53"/>
      <c r="B117" s="54"/>
      <c r="C117" s="54"/>
      <c r="D117" s="54"/>
      <c r="E117" s="54"/>
      <c r="F117" s="54"/>
      <c r="G117" s="42" t="s">
        <v>91</v>
      </c>
      <c r="H117" s="42">
        <f>IF($A$110="Front",VLOOKUP($Q117,'[1]Handicap Chart'!$B$4:$K$40,2),VLOOKUP($Q117,'[1]Handicap Chart'!$B$4:$K$40,10))</f>
        <v>2</v>
      </c>
      <c r="I117" s="42">
        <f>IF($A$110="Front",VLOOKUP($Q117,'[1]Handicap Chart'!$B$4:$K$40,4),VLOOKUP($Q117,'[1]Handicap Chart'!$B$4:$K$40,3))</f>
        <v>2</v>
      </c>
      <c r="J117" s="42">
        <f>IF($A$110="Front",VLOOKUP($Q117,'[1]Handicap Chart'!$B$4:$K$40,8),VLOOKUP($Q117,'[1]Handicap Chart'!$B$4:$K$40,6))</f>
        <v>1</v>
      </c>
      <c r="K117" s="42">
        <f>IF($A$110="Front",VLOOKUP($Q117,'[1]Handicap Chart'!$B$4:$K$40,9),VLOOKUP($Q117,'[1]Handicap Chart'!$B$4:$K$40,5))</f>
        <v>1</v>
      </c>
      <c r="L117" s="42">
        <f>IF($A$110="Front",VLOOKUP($Q117,'[1]Handicap Chart'!$B$4:$K$40,5),VLOOKUP($Q117,'[1]Handicap Chart'!$B$4:$K$40,4))</f>
        <v>1</v>
      </c>
      <c r="M117" s="42">
        <f>IF($A$110="Front",VLOOKUP($Q117,'[1]Handicap Chart'!$B$4:$K$40,10),VLOOKUP($Q117,'[1]Handicap Chart'!$B$4:$K$40,9))</f>
        <v>1</v>
      </c>
      <c r="N117" s="42">
        <f>IF($A$110="Front",VLOOKUP($Q117,'[1]Handicap Chart'!$B$4:$K$40,3),VLOOKUP($Q117,'[1]Handicap Chart'!$B$4:$K$40,7))</f>
        <v>2</v>
      </c>
      <c r="O117" s="42">
        <f>IF($A$110="Front",VLOOKUP($Q117,'[1]Handicap Chart'!$B$4:$K$40,7),VLOOKUP($Q117,'[1]Handicap Chart'!$B$4:$K$40,8))</f>
        <v>1</v>
      </c>
      <c r="P117" s="42">
        <f>IF($A$110="Front",VLOOKUP($Q117,'[1]Handicap Chart'!$B$4:$K$40,6),VLOOKUP($Q117,'[1]Handicap Chart'!$B$4:$K$40,2))</f>
        <v>1</v>
      </c>
      <c r="Q117" s="55">
        <f>VLOOKUP($C116,[1]Summary!$A$4:$BL$39,47, FALSE)</f>
        <v>12</v>
      </c>
      <c r="S117" s="71" t="s">
        <v>92</v>
      </c>
      <c r="T117" s="71">
        <f>IF(OR(EXACT($E116,"Y"),(EXACT($F116,"Y"))),"-",IF(H118-T118&gt;1,-1,IF(H118-T118=0,1,IF(H118-T118=-1,3,IF(H118-T118=-2,4,IF(H118-T118=-3,5,0))))))</f>
        <v>0</v>
      </c>
      <c r="U117" s="71">
        <f t="shared" ref="U117:AB117" si="125">IF(OR(EXACT($E116,"Y"),(EXACT($F116,"Y"))),"-",IF(I118-U118&gt;1,-1,IF(I118-U118=0,1,IF(I118-U118=-1,3,IF(I118-U118=-2,4,IF(I118-U118=-3,5,0))))))</f>
        <v>0</v>
      </c>
      <c r="V117" s="71">
        <f t="shared" si="125"/>
        <v>0</v>
      </c>
      <c r="W117" s="71">
        <f t="shared" si="125"/>
        <v>0</v>
      </c>
      <c r="X117" s="71">
        <f t="shared" si="125"/>
        <v>0</v>
      </c>
      <c r="Y117" s="71">
        <f t="shared" si="125"/>
        <v>0</v>
      </c>
      <c r="Z117" s="71">
        <f t="shared" si="125"/>
        <v>0</v>
      </c>
      <c r="AA117" s="71">
        <f t="shared" si="125"/>
        <v>0</v>
      </c>
      <c r="AB117" s="71">
        <f t="shared" si="125"/>
        <v>0</v>
      </c>
      <c r="AC117" s="70">
        <f>IF(EXACT(E116,"Y"),6,IF(EXACT(F116,"Y"),2,SUM(T117:AB117)))</f>
        <v>0</v>
      </c>
      <c r="AD117" s="40"/>
      <c r="AE117" s="2"/>
      <c r="AH117" s="2"/>
    </row>
    <row r="118" spans="1:35" ht="15" thickBot="1" x14ac:dyDescent="0.45">
      <c r="A118" s="72"/>
      <c r="B118" s="73"/>
      <c r="C118" s="73"/>
      <c r="D118" s="73"/>
      <c r="E118" s="73"/>
      <c r="F118" s="73"/>
      <c r="G118" s="74" t="s">
        <v>93</v>
      </c>
      <c r="H118" s="60">
        <f t="shared" ref="H118:P118" si="126">IF(OR(EXACT($E116,"Y"),(EXACT($F116,"Y"))),"-",H116-H117)</f>
        <v>-2</v>
      </c>
      <c r="I118" s="60">
        <f t="shared" si="126"/>
        <v>-2</v>
      </c>
      <c r="J118" s="60">
        <f t="shared" si="126"/>
        <v>-1</v>
      </c>
      <c r="K118" s="60">
        <f t="shared" si="126"/>
        <v>-1</v>
      </c>
      <c r="L118" s="60">
        <f t="shared" si="126"/>
        <v>-1</v>
      </c>
      <c r="M118" s="60">
        <f t="shared" si="126"/>
        <v>-1</v>
      </c>
      <c r="N118" s="60">
        <f t="shared" si="126"/>
        <v>-2</v>
      </c>
      <c r="O118" s="60">
        <f t="shared" si="126"/>
        <v>-1</v>
      </c>
      <c r="P118" s="60">
        <f t="shared" si="126"/>
        <v>-1</v>
      </c>
      <c r="Q118" s="75">
        <f>SUM(H118:P118)</f>
        <v>-12</v>
      </c>
      <c r="S118" s="62" t="str">
        <f>$A$110</f>
        <v>Front</v>
      </c>
      <c r="T118" s="42">
        <f t="shared" ref="T118:AB118" si="127">IF($A$110="Front",T$1,T$2)</f>
        <v>4</v>
      </c>
      <c r="U118" s="42">
        <f t="shared" si="127"/>
        <v>3</v>
      </c>
      <c r="V118" s="42">
        <f t="shared" si="127"/>
        <v>4</v>
      </c>
      <c r="W118" s="42">
        <f t="shared" si="127"/>
        <v>5</v>
      </c>
      <c r="X118" s="42">
        <f t="shared" si="127"/>
        <v>4</v>
      </c>
      <c r="Y118" s="42">
        <f t="shared" si="127"/>
        <v>3</v>
      </c>
      <c r="Z118" s="42">
        <f t="shared" si="127"/>
        <v>4</v>
      </c>
      <c r="AA118" s="42">
        <f t="shared" si="127"/>
        <v>5</v>
      </c>
      <c r="AB118" s="42">
        <f t="shared" si="127"/>
        <v>4</v>
      </c>
      <c r="AC118" s="77">
        <f>SUM(T118:AB118)</f>
        <v>36</v>
      </c>
      <c r="AD118" s="40">
        <f>B113</f>
        <v>5</v>
      </c>
      <c r="AE118" s="78">
        <f>AC114+AC117</f>
        <v>5</v>
      </c>
      <c r="AF118" s="78">
        <f>IF(AC114&gt;=AC108,IF(AC114&gt;AC108,IF(AC117&gt;=AC111,IF(AC117&gt;AC111,4,3),2),IF(AC117&gt;=AC111,IF(AC117&gt;AC111,3,2),IF(AC117&gt;=AC111,IF(AC117&gt;AC111,2,1),1))),IF(AC117&gt;=AC111,IF(AC117&gt;AC111,2,1),0))</f>
        <v>2</v>
      </c>
      <c r="AG118" s="78">
        <f>IF(AE118&gt;AE112,4,IF(AE118=AE112,2,0))</f>
        <v>2</v>
      </c>
      <c r="AH118" s="79">
        <v>8</v>
      </c>
      <c r="AI118" s="79">
        <f>SUM(AF118:AH118)</f>
        <v>12</v>
      </c>
    </row>
    <row r="119" spans="1:35" ht="15" thickBo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40"/>
      <c r="AE119" s="2"/>
      <c r="AH119" s="2"/>
    </row>
    <row r="120" spans="1:35" ht="15" thickBot="1" x14ac:dyDescent="0.45">
      <c r="A120" s="42" t="s">
        <v>82</v>
      </c>
      <c r="B120" s="42" t="s">
        <v>0</v>
      </c>
      <c r="C120" s="42" t="s">
        <v>6</v>
      </c>
      <c r="D120" s="42" t="s">
        <v>84</v>
      </c>
      <c r="E120" s="42" t="s">
        <v>85</v>
      </c>
      <c r="F120" s="42" t="s">
        <v>86</v>
      </c>
      <c r="G120" s="42"/>
      <c r="H120" s="42">
        <v>1</v>
      </c>
      <c r="I120" s="42">
        <v>2</v>
      </c>
      <c r="J120" s="42">
        <v>3</v>
      </c>
      <c r="K120" s="42">
        <v>4</v>
      </c>
      <c r="L120" s="42">
        <v>5</v>
      </c>
      <c r="M120" s="42">
        <v>6</v>
      </c>
      <c r="N120" s="42">
        <v>7</v>
      </c>
      <c r="O120" s="42">
        <v>8</v>
      </c>
      <c r="P120" s="42">
        <v>9</v>
      </c>
      <c r="Q120" s="42" t="s">
        <v>87</v>
      </c>
      <c r="S120" s="43" t="s">
        <v>88</v>
      </c>
      <c r="T120" s="44">
        <v>1</v>
      </c>
      <c r="U120" s="44">
        <v>2</v>
      </c>
      <c r="V120" s="44">
        <v>3</v>
      </c>
      <c r="W120" s="44">
        <v>4</v>
      </c>
      <c r="X120" s="44">
        <v>5</v>
      </c>
      <c r="Y120" s="44">
        <v>6</v>
      </c>
      <c r="Z120" s="44">
        <v>7</v>
      </c>
      <c r="AA120" s="44">
        <v>8</v>
      </c>
      <c r="AB120" s="44">
        <v>9</v>
      </c>
      <c r="AC120" s="45" t="s">
        <v>4</v>
      </c>
      <c r="AD120" s="40"/>
      <c r="AE120" s="2"/>
      <c r="AH120" s="2"/>
    </row>
    <row r="121" spans="1:35" x14ac:dyDescent="0.4">
      <c r="A121" s="46">
        <v>2</v>
      </c>
      <c r="B121" s="47">
        <v>1</v>
      </c>
      <c r="C121" s="48">
        <v>1</v>
      </c>
      <c r="D121" s="47" t="str">
        <f>VLOOKUP($C121,[1]Summary!$A$4:$BL$39,4, FALSE)</f>
        <v>Brian Charles</v>
      </c>
      <c r="E121" s="48"/>
      <c r="F121" s="48"/>
      <c r="G121" s="47" t="s">
        <v>89</v>
      </c>
      <c r="H121" s="48"/>
      <c r="I121" s="48"/>
      <c r="J121" s="48"/>
      <c r="K121" s="48"/>
      <c r="L121" s="48"/>
      <c r="M121" s="48"/>
      <c r="N121" s="48"/>
      <c r="O121" s="48"/>
      <c r="P121" s="48"/>
      <c r="Q121" s="49">
        <f>SUM(H121:P121)</f>
        <v>0</v>
      </c>
      <c r="S121" s="50" t="s">
        <v>90</v>
      </c>
      <c r="T121" s="51">
        <f t="shared" ref="T121:AB121" si="128">IF(H121&gt;=T123+H122+2,SUM(T123+H122+2),H121)</f>
        <v>0</v>
      </c>
      <c r="U121" s="51">
        <f t="shared" si="128"/>
        <v>0</v>
      </c>
      <c r="V121" s="51">
        <f t="shared" si="128"/>
        <v>0</v>
      </c>
      <c r="W121" s="51">
        <f t="shared" si="128"/>
        <v>0</v>
      </c>
      <c r="X121" s="51">
        <f t="shared" si="128"/>
        <v>0</v>
      </c>
      <c r="Y121" s="51">
        <f t="shared" si="128"/>
        <v>0</v>
      </c>
      <c r="Z121" s="51">
        <f t="shared" si="128"/>
        <v>0</v>
      </c>
      <c r="AA121" s="51">
        <f t="shared" si="128"/>
        <v>0</v>
      </c>
      <c r="AB121" s="51">
        <f t="shared" si="128"/>
        <v>0</v>
      </c>
      <c r="AC121" s="52">
        <f>SUM(T121:AB121)</f>
        <v>0</v>
      </c>
      <c r="AD121" s="40"/>
      <c r="AE121" s="2"/>
      <c r="AH121" s="2"/>
    </row>
    <row r="122" spans="1:35" x14ac:dyDescent="0.4">
      <c r="A122" s="53"/>
      <c r="B122" s="54"/>
      <c r="C122" s="54"/>
      <c r="D122" s="54"/>
      <c r="E122" s="54"/>
      <c r="F122" s="54"/>
      <c r="G122" s="42" t="s">
        <v>91</v>
      </c>
      <c r="H122" s="42">
        <f>IF($A$124="Front",VLOOKUP($Q122,'[1]Handicap Chart'!$B$4:$K$40,2),VLOOKUP($Q122,'[1]Handicap Chart'!$B$4:$K$40,10))</f>
        <v>1</v>
      </c>
      <c r="I122" s="42">
        <f>IF($A$124="Front",VLOOKUP($Q122,'[1]Handicap Chart'!$B$4:$K$40,4),VLOOKUP($Q122,'[1]Handicap Chart'!$B$4:$K$40,3))</f>
        <v>1</v>
      </c>
      <c r="J122" s="42">
        <f>IF($A$124="Front",VLOOKUP($Q122,'[1]Handicap Chart'!$B$4:$K$40,8),VLOOKUP($Q122,'[1]Handicap Chart'!$B$4:$K$40,6))</f>
        <v>0</v>
      </c>
      <c r="K122" s="42">
        <f>IF($A$124="Front",VLOOKUP($Q122,'[1]Handicap Chart'!$B$4:$K$40,9),VLOOKUP($Q122,'[1]Handicap Chart'!$B$4:$K$40,5))</f>
        <v>0</v>
      </c>
      <c r="L122" s="42">
        <f>IF($A$124="Front",VLOOKUP($Q122,'[1]Handicap Chart'!$B$4:$K$40,5),VLOOKUP($Q122,'[1]Handicap Chart'!$B$4:$K$40,4))</f>
        <v>1</v>
      </c>
      <c r="M122" s="42">
        <f>IF($A$124="Front",VLOOKUP($Q122,'[1]Handicap Chart'!$B$4:$K$40,10),VLOOKUP($Q122,'[1]Handicap Chart'!$B$4:$K$40,9))</f>
        <v>0</v>
      </c>
      <c r="N122" s="42">
        <f>IF($A$124="Front",VLOOKUP($Q122,'[1]Handicap Chart'!$B$4:$K$40,3),VLOOKUP($Q122,'[1]Handicap Chart'!$B$4:$K$40,7))</f>
        <v>1</v>
      </c>
      <c r="O122" s="42">
        <f>IF($A$124="Front",VLOOKUP($Q122,'[1]Handicap Chart'!$B$4:$K$40,7),VLOOKUP($Q122,'[1]Handicap Chart'!$B$4:$K$40,8))</f>
        <v>1</v>
      </c>
      <c r="P122" s="42">
        <f>IF($A$124="Front",VLOOKUP($Q122,'[1]Handicap Chart'!$B$4:$K$40,6),VLOOKUP($Q122,'[1]Handicap Chart'!$B$4:$K$40,2))</f>
        <v>1</v>
      </c>
      <c r="Q122" s="55">
        <f>VLOOKUP($C121,[1]Summary!$A$4:$BL$39,47, FALSE)</f>
        <v>6</v>
      </c>
      <c r="S122" s="56" t="s">
        <v>92</v>
      </c>
      <c r="T122" s="57">
        <f>IF(OR(EXACT($E121,"Y"),(EXACT($F121,"Y"))),"-",IF(H123-T123&gt;1,-1,IF(H123-T123=0,1,IF(H123-T123=-1,3,IF(H123-T123=-2,4,IF(H123-T123=-3,5,0))))))</f>
        <v>0</v>
      </c>
      <c r="U122" s="57">
        <f t="shared" ref="U122:AB122" si="129">IF(OR(EXACT($E121,"Y"),(EXACT($F121,"Y"))),"-",IF(I123-U123&gt;1,-1,IF(I123-U123=0,1,IF(I123-U123=-1,3,IF(I123-U123=-2,4,IF(I123-U123=-3,5,0))))))</f>
        <v>0</v>
      </c>
      <c r="V122" s="57">
        <f t="shared" si="129"/>
        <v>0</v>
      </c>
      <c r="W122" s="57">
        <f t="shared" si="129"/>
        <v>0</v>
      </c>
      <c r="X122" s="57">
        <f t="shared" si="129"/>
        <v>0</v>
      </c>
      <c r="Y122" s="57">
        <f t="shared" si="129"/>
        <v>5</v>
      </c>
      <c r="Z122" s="57">
        <f t="shared" si="129"/>
        <v>0</v>
      </c>
      <c r="AA122" s="57">
        <f t="shared" si="129"/>
        <v>0</v>
      </c>
      <c r="AB122" s="57">
        <f t="shared" si="129"/>
        <v>0</v>
      </c>
      <c r="AC122" s="58">
        <f>IF(EXACT(E121,"Y"),6,IF(EXACT(F121,"Y"),2,SUM(T122:AB122)))</f>
        <v>5</v>
      </c>
      <c r="AD122" s="40"/>
      <c r="AE122" s="2"/>
      <c r="AH122" s="2"/>
    </row>
    <row r="123" spans="1:35" ht="15" thickBot="1" x14ac:dyDescent="0.45">
      <c r="A123" s="53"/>
      <c r="B123" s="54"/>
      <c r="C123" s="54"/>
      <c r="D123" s="54"/>
      <c r="E123" s="54"/>
      <c r="F123" s="54"/>
      <c r="G123" s="59" t="s">
        <v>93</v>
      </c>
      <c r="H123" s="60">
        <f t="shared" ref="H123:P123" si="130">IF(OR(EXACT($E121,"Y"),(EXACT($F121,"Y"))),"-",H121-H122)</f>
        <v>-1</v>
      </c>
      <c r="I123" s="60">
        <f t="shared" si="130"/>
        <v>-1</v>
      </c>
      <c r="J123" s="60">
        <f t="shared" si="130"/>
        <v>0</v>
      </c>
      <c r="K123" s="60">
        <f t="shared" si="130"/>
        <v>0</v>
      </c>
      <c r="L123" s="60">
        <f t="shared" si="130"/>
        <v>-1</v>
      </c>
      <c r="M123" s="60">
        <f t="shared" si="130"/>
        <v>0</v>
      </c>
      <c r="N123" s="60">
        <f t="shared" si="130"/>
        <v>-1</v>
      </c>
      <c r="O123" s="60">
        <f t="shared" si="130"/>
        <v>-1</v>
      </c>
      <c r="P123" s="60">
        <f t="shared" si="130"/>
        <v>-1</v>
      </c>
      <c r="Q123" s="61">
        <f>SUM(H123:P123)</f>
        <v>-6</v>
      </c>
      <c r="S123" s="62" t="str">
        <f>$A$124</f>
        <v>Front</v>
      </c>
      <c r="T123" s="42">
        <f>IF($A$124="Front",T$1,T$2)</f>
        <v>4</v>
      </c>
      <c r="U123" s="42">
        <f t="shared" ref="U123:AB123" si="131">IF($A$124="Front",U$1,U$2)</f>
        <v>3</v>
      </c>
      <c r="V123" s="42">
        <f t="shared" si="131"/>
        <v>4</v>
      </c>
      <c r="W123" s="42">
        <f t="shared" si="131"/>
        <v>5</v>
      </c>
      <c r="X123" s="42">
        <f t="shared" si="131"/>
        <v>4</v>
      </c>
      <c r="Y123" s="42">
        <f t="shared" si="131"/>
        <v>3</v>
      </c>
      <c r="Z123" s="42">
        <f t="shared" si="131"/>
        <v>4</v>
      </c>
      <c r="AA123" s="42">
        <f t="shared" si="131"/>
        <v>5</v>
      </c>
      <c r="AB123" s="42">
        <f t="shared" si="131"/>
        <v>4</v>
      </c>
      <c r="AC123" s="55">
        <f>SUM(T123:AB123)</f>
        <v>36</v>
      </c>
      <c r="AD123" s="40"/>
      <c r="AE123" s="2"/>
      <c r="AH123" s="2"/>
    </row>
    <row r="124" spans="1:35" x14ac:dyDescent="0.4">
      <c r="A124" s="63" t="s">
        <v>74</v>
      </c>
      <c r="B124" s="57">
        <v>1</v>
      </c>
      <c r="C124" s="64">
        <v>2</v>
      </c>
      <c r="D124" s="47" t="str">
        <f>VLOOKUP($C124,[1]Summary!$A$4:$BL$39,4, FALSE)</f>
        <v>Karl Dagg</v>
      </c>
      <c r="E124" s="64"/>
      <c r="F124" s="64"/>
      <c r="G124" s="57" t="s">
        <v>89</v>
      </c>
      <c r="H124" s="64"/>
      <c r="I124" s="64"/>
      <c r="J124" s="64"/>
      <c r="K124" s="64"/>
      <c r="L124" s="64"/>
      <c r="M124" s="64"/>
      <c r="N124" s="64"/>
      <c r="O124" s="64"/>
      <c r="P124" s="64"/>
      <c r="Q124" s="49">
        <f>SUM(H124:P124)</f>
        <v>0</v>
      </c>
      <c r="S124" s="65" t="s">
        <v>90</v>
      </c>
      <c r="T124" s="51">
        <f t="shared" ref="T124:AB124" si="132">IF(H124&gt;=T126+H125+2,SUM(T126+H125+2),H124)</f>
        <v>0</v>
      </c>
      <c r="U124" s="51">
        <f t="shared" si="132"/>
        <v>0</v>
      </c>
      <c r="V124" s="51">
        <f t="shared" si="132"/>
        <v>0</v>
      </c>
      <c r="W124" s="51">
        <f t="shared" si="132"/>
        <v>0</v>
      </c>
      <c r="X124" s="51">
        <f t="shared" si="132"/>
        <v>0</v>
      </c>
      <c r="Y124" s="51">
        <f t="shared" si="132"/>
        <v>0</v>
      </c>
      <c r="Z124" s="51">
        <f t="shared" si="132"/>
        <v>0</v>
      </c>
      <c r="AA124" s="51">
        <f t="shared" si="132"/>
        <v>0</v>
      </c>
      <c r="AB124" s="51">
        <f t="shared" si="132"/>
        <v>0</v>
      </c>
      <c r="AC124" s="61">
        <f>SUM(T124:AB124)</f>
        <v>0</v>
      </c>
      <c r="AD124" s="40"/>
      <c r="AE124" s="2"/>
      <c r="AH124" s="2"/>
    </row>
    <row r="125" spans="1:35" ht="15" thickBot="1" x14ac:dyDescent="0.45">
      <c r="A125" s="53"/>
      <c r="B125" s="54"/>
      <c r="C125" s="54"/>
      <c r="D125" s="54"/>
      <c r="E125" s="54"/>
      <c r="F125" s="54"/>
      <c r="G125" s="42" t="s">
        <v>91</v>
      </c>
      <c r="H125" s="42">
        <f>IF($A$124="Front",VLOOKUP($Q125,'[1]Handicap Chart'!$B$4:$K$40,2),VLOOKUP($Q125,'[1]Handicap Chart'!$B$4:$K$40,10))</f>
        <v>1</v>
      </c>
      <c r="I125" s="42">
        <f>IF($A$124="Front",VLOOKUP($Q125,'[1]Handicap Chart'!$B$4:$K$40,4),VLOOKUP($Q125,'[1]Handicap Chart'!$B$4:$K$40,3))</f>
        <v>1</v>
      </c>
      <c r="J125" s="42">
        <f>IF($A$124="Front",VLOOKUP($Q125,'[1]Handicap Chart'!$B$4:$K$40,8),VLOOKUP($Q125,'[1]Handicap Chart'!$B$4:$K$40,6))</f>
        <v>0</v>
      </c>
      <c r="K125" s="42">
        <f>IF($A$124="Front",VLOOKUP($Q125,'[1]Handicap Chart'!$B$4:$K$40,9),VLOOKUP($Q125,'[1]Handicap Chart'!$B$4:$K$40,5))</f>
        <v>0</v>
      </c>
      <c r="L125" s="42">
        <f>IF($A$124="Front",VLOOKUP($Q125,'[1]Handicap Chart'!$B$4:$K$40,5),VLOOKUP($Q125,'[1]Handicap Chart'!$B$4:$K$40,4))</f>
        <v>1</v>
      </c>
      <c r="M125" s="42">
        <f>IF($A$124="Front",VLOOKUP($Q125,'[1]Handicap Chart'!$B$4:$K$40,10),VLOOKUP($Q125,'[1]Handicap Chart'!$B$4:$K$40,9))</f>
        <v>0</v>
      </c>
      <c r="N125" s="42">
        <f>IF($A$124="Front",VLOOKUP($Q125,'[1]Handicap Chart'!$B$4:$K$40,3),VLOOKUP($Q125,'[1]Handicap Chart'!$B$4:$K$40,7))</f>
        <v>1</v>
      </c>
      <c r="O125" s="42">
        <f>IF($A$124="Front",VLOOKUP($Q125,'[1]Handicap Chart'!$B$4:$K$40,7),VLOOKUP($Q125,'[1]Handicap Chart'!$B$4:$K$40,8))</f>
        <v>0</v>
      </c>
      <c r="P125" s="42">
        <f>IF($A$124="Front",VLOOKUP($Q125,'[1]Handicap Chart'!$B$4:$K$40,6),VLOOKUP($Q125,'[1]Handicap Chart'!$B$4:$K$40,2))</f>
        <v>1</v>
      </c>
      <c r="Q125" s="55">
        <f>VLOOKUP($C124,[1]Summary!$A$4:$BL$39,47, FALSE)</f>
        <v>5</v>
      </c>
      <c r="S125" s="56" t="s">
        <v>92</v>
      </c>
      <c r="T125" s="57">
        <f>IF(OR(EXACT($E124,"Y"),(EXACT($F124,"Y"))),"-",IF(H126-T126&gt;1,-1,IF(H126-T126=0,1,IF(H126-T126=-1,3,IF(H126-T126=-2,4,IF(H126-T126=-3,5,0))))))</f>
        <v>0</v>
      </c>
      <c r="U125" s="57">
        <f t="shared" ref="U125:AB125" si="133">IF(OR(EXACT($E124,"Y"),(EXACT($F124,"Y"))),"-",IF(I126-U126&gt;1,-1,IF(I126-U126=0,1,IF(I126-U126=-1,3,IF(I126-U126=-2,4,IF(I126-U126=-3,5,0))))))</f>
        <v>0</v>
      </c>
      <c r="V125" s="57">
        <f t="shared" si="133"/>
        <v>0</v>
      </c>
      <c r="W125" s="57">
        <f t="shared" si="133"/>
        <v>0</v>
      </c>
      <c r="X125" s="57">
        <f t="shared" si="133"/>
        <v>0</v>
      </c>
      <c r="Y125" s="57">
        <f t="shared" si="133"/>
        <v>5</v>
      </c>
      <c r="Z125" s="57">
        <f t="shared" si="133"/>
        <v>0</v>
      </c>
      <c r="AA125" s="57">
        <f t="shared" si="133"/>
        <v>0</v>
      </c>
      <c r="AB125" s="57">
        <f t="shared" si="133"/>
        <v>0</v>
      </c>
      <c r="AC125" s="58">
        <f>IF(EXACT(E124,"Y"),6,IF(EXACT(F124,"Y"),2,SUM(T125:AB125)))</f>
        <v>5</v>
      </c>
      <c r="AD125" s="40"/>
      <c r="AE125" s="2"/>
      <c r="AH125" s="2"/>
    </row>
    <row r="126" spans="1:35" ht="15" thickBot="1" x14ac:dyDescent="0.45">
      <c r="A126" s="53"/>
      <c r="B126" s="54"/>
      <c r="C126" s="54"/>
      <c r="D126" s="54"/>
      <c r="E126" s="54"/>
      <c r="F126" s="54"/>
      <c r="G126" s="59" t="s">
        <v>93</v>
      </c>
      <c r="H126" s="60">
        <f t="shared" ref="H126:P126" si="134">IF(OR(EXACT($E124,"Y"),(EXACT($F124,"Y"))),"-",H124-H125)</f>
        <v>-1</v>
      </c>
      <c r="I126" s="60">
        <f t="shared" si="134"/>
        <v>-1</v>
      </c>
      <c r="J126" s="60">
        <f t="shared" si="134"/>
        <v>0</v>
      </c>
      <c r="K126" s="60">
        <f t="shared" si="134"/>
        <v>0</v>
      </c>
      <c r="L126" s="60">
        <f t="shared" si="134"/>
        <v>-1</v>
      </c>
      <c r="M126" s="60">
        <f t="shared" si="134"/>
        <v>0</v>
      </c>
      <c r="N126" s="60">
        <f t="shared" si="134"/>
        <v>-1</v>
      </c>
      <c r="O126" s="60">
        <f t="shared" si="134"/>
        <v>0</v>
      </c>
      <c r="P126" s="60">
        <f t="shared" si="134"/>
        <v>-1</v>
      </c>
      <c r="Q126" s="61">
        <f>SUM(H126:P126)</f>
        <v>-5</v>
      </c>
      <c r="S126" s="62" t="str">
        <f>$A$124</f>
        <v>Front</v>
      </c>
      <c r="T126" s="42">
        <f t="shared" ref="T126:AB126" si="135">IF($A$124="Front",T$1,T$2)</f>
        <v>4</v>
      </c>
      <c r="U126" s="42">
        <f t="shared" si="135"/>
        <v>3</v>
      </c>
      <c r="V126" s="42">
        <f t="shared" si="135"/>
        <v>4</v>
      </c>
      <c r="W126" s="42">
        <f t="shared" si="135"/>
        <v>5</v>
      </c>
      <c r="X126" s="42">
        <f t="shared" si="135"/>
        <v>4</v>
      </c>
      <c r="Y126" s="42">
        <f t="shared" si="135"/>
        <v>3</v>
      </c>
      <c r="Z126" s="42">
        <f t="shared" si="135"/>
        <v>4</v>
      </c>
      <c r="AA126" s="42">
        <f t="shared" si="135"/>
        <v>5</v>
      </c>
      <c r="AB126" s="42">
        <f t="shared" si="135"/>
        <v>4</v>
      </c>
      <c r="AC126" s="55">
        <f>SUM(T126:AB126)</f>
        <v>36</v>
      </c>
      <c r="AD126" s="40">
        <f>B121</f>
        <v>1</v>
      </c>
      <c r="AE126" s="80">
        <f>AC122+AC125</f>
        <v>10</v>
      </c>
      <c r="AF126" s="66">
        <f>IF(AC122&gt;=AC128,IF(AC122&gt;AC128,IF(AC125&gt;=AC131,IF(AC125&gt;AC131,4,3),2),IF(AC125&gt;=AC131,IF(AC125&gt;AC131,3,2),IF(AC125&gt;=AC131,IF(AC125&gt;AC131,2,1),1))),IF(AC125&gt;=AC131,IF(AC125&gt;AC131,2,1),0))</f>
        <v>4</v>
      </c>
      <c r="AG126" s="66">
        <f>IF(AE126&gt;AE132,4,IF(AE126=AE132,2,0))</f>
        <v>4</v>
      </c>
      <c r="AH126" s="67">
        <v>6</v>
      </c>
      <c r="AI126" s="67">
        <f>SUM(AF126:AH126)</f>
        <v>14</v>
      </c>
    </row>
    <row r="127" spans="1:35" x14ac:dyDescent="0.4">
      <c r="A127" s="63" t="s">
        <v>94</v>
      </c>
      <c r="B127" s="68">
        <v>4</v>
      </c>
      <c r="C127" s="69">
        <v>7</v>
      </c>
      <c r="D127" s="68" t="str">
        <f>VLOOKUP($C127,[1]Summary!$A$4:$BL$39,4, FALSE)</f>
        <v>Scot Pineno</v>
      </c>
      <c r="E127" s="69"/>
      <c r="F127" s="69"/>
      <c r="G127" s="68" t="s">
        <v>89</v>
      </c>
      <c r="H127" s="69"/>
      <c r="I127" s="69"/>
      <c r="J127" s="69"/>
      <c r="K127" s="69"/>
      <c r="L127" s="69"/>
      <c r="M127" s="69"/>
      <c r="N127" s="69"/>
      <c r="O127" s="69"/>
      <c r="P127" s="69"/>
      <c r="Q127" s="70">
        <f>SUM(H127:P127)</f>
        <v>0</v>
      </c>
      <c r="S127" s="65" t="s">
        <v>90</v>
      </c>
      <c r="T127" s="51">
        <f t="shared" ref="T127:AB127" si="136">IF(H127&gt;=T129+H128+2,SUM(T129+H128+2),H127)</f>
        <v>0</v>
      </c>
      <c r="U127" s="51">
        <f t="shared" si="136"/>
        <v>0</v>
      </c>
      <c r="V127" s="51">
        <f t="shared" si="136"/>
        <v>0</v>
      </c>
      <c r="W127" s="51">
        <f t="shared" si="136"/>
        <v>0</v>
      </c>
      <c r="X127" s="51">
        <f t="shared" si="136"/>
        <v>0</v>
      </c>
      <c r="Y127" s="51">
        <f t="shared" si="136"/>
        <v>0</v>
      </c>
      <c r="Z127" s="51">
        <f t="shared" si="136"/>
        <v>0</v>
      </c>
      <c r="AA127" s="51">
        <f t="shared" si="136"/>
        <v>0</v>
      </c>
      <c r="AB127" s="51">
        <f t="shared" si="136"/>
        <v>0</v>
      </c>
      <c r="AC127" s="61">
        <f>SUM(T127:AB127)</f>
        <v>0</v>
      </c>
      <c r="AD127" s="40"/>
      <c r="AE127" s="2"/>
      <c r="AH127" s="2"/>
    </row>
    <row r="128" spans="1:35" x14ac:dyDescent="0.4">
      <c r="A128" s="53"/>
      <c r="B128" s="54"/>
      <c r="C128" s="54"/>
      <c r="D128" s="54"/>
      <c r="E128" s="54"/>
      <c r="F128" s="54"/>
      <c r="G128" s="42" t="s">
        <v>91</v>
      </c>
      <c r="H128" s="42">
        <f>IF($A$124="Front",VLOOKUP($Q128,'[1]Handicap Chart'!$B$4:$K$40,2),VLOOKUP($Q128,'[1]Handicap Chart'!$B$4:$K$40,10))</f>
        <v>2</v>
      </c>
      <c r="I128" s="42">
        <f>IF($A$124="Front",VLOOKUP($Q128,'[1]Handicap Chart'!$B$4:$K$40,4),VLOOKUP($Q128,'[1]Handicap Chart'!$B$4:$K$40,3))</f>
        <v>1</v>
      </c>
      <c r="J128" s="42">
        <f>IF($A$124="Front",VLOOKUP($Q128,'[1]Handicap Chart'!$B$4:$K$40,8),VLOOKUP($Q128,'[1]Handicap Chart'!$B$4:$K$40,6))</f>
        <v>1</v>
      </c>
      <c r="K128" s="42">
        <f>IF($A$124="Front",VLOOKUP($Q128,'[1]Handicap Chart'!$B$4:$K$40,9),VLOOKUP($Q128,'[1]Handicap Chart'!$B$4:$K$40,5))</f>
        <v>1</v>
      </c>
      <c r="L128" s="42">
        <f>IF($A$124="Front",VLOOKUP($Q128,'[1]Handicap Chart'!$B$4:$K$40,5),VLOOKUP($Q128,'[1]Handicap Chart'!$B$4:$K$40,4))</f>
        <v>1</v>
      </c>
      <c r="M128" s="42">
        <f>IF($A$124="Front",VLOOKUP($Q128,'[1]Handicap Chart'!$B$4:$K$40,10),VLOOKUP($Q128,'[1]Handicap Chart'!$B$4:$K$40,9))</f>
        <v>1</v>
      </c>
      <c r="N128" s="42">
        <f>IF($A$124="Front",VLOOKUP($Q128,'[1]Handicap Chart'!$B$4:$K$40,3),VLOOKUP($Q128,'[1]Handicap Chart'!$B$4:$K$40,7))</f>
        <v>2</v>
      </c>
      <c r="O128" s="42">
        <f>IF($A$124="Front",VLOOKUP($Q128,'[1]Handicap Chart'!$B$4:$K$40,7),VLOOKUP($Q128,'[1]Handicap Chart'!$B$4:$K$40,8))</f>
        <v>1</v>
      </c>
      <c r="P128" s="42">
        <f>IF($A$124="Front",VLOOKUP($Q128,'[1]Handicap Chart'!$B$4:$K$40,6),VLOOKUP($Q128,'[1]Handicap Chart'!$B$4:$K$40,2))</f>
        <v>1</v>
      </c>
      <c r="Q128" s="55">
        <f>VLOOKUP($C127,[1]Summary!$A$4:$BL$39,47, FALSE)</f>
        <v>11</v>
      </c>
      <c r="S128" s="71" t="s">
        <v>92</v>
      </c>
      <c r="T128" s="71">
        <f>IF(OR(EXACT($E127,"Y"),(EXACT($F127,"Y"))),"-",IF(H129-T129&gt;1,-1,IF(H129-T129=0,1,IF(H129-T129=-1,3,IF(H129-T129=-2,4,IF(H129-T129=-3,5,0))))))</f>
        <v>0</v>
      </c>
      <c r="U128" s="71">
        <f t="shared" ref="U128:AB128" si="137">IF(OR(EXACT($E127,"Y"),(EXACT($F127,"Y"))),"-",IF(I129-U129&gt;1,-1,IF(I129-U129=0,1,IF(I129-U129=-1,3,IF(I129-U129=-2,4,IF(I129-U129=-3,5,0))))))</f>
        <v>0</v>
      </c>
      <c r="V128" s="71">
        <f t="shared" si="137"/>
        <v>0</v>
      </c>
      <c r="W128" s="71">
        <f t="shared" si="137"/>
        <v>0</v>
      </c>
      <c r="X128" s="71">
        <f t="shared" si="137"/>
        <v>0</v>
      </c>
      <c r="Y128" s="71">
        <f t="shared" si="137"/>
        <v>0</v>
      </c>
      <c r="Z128" s="71">
        <f t="shared" si="137"/>
        <v>0</v>
      </c>
      <c r="AA128" s="71">
        <f t="shared" si="137"/>
        <v>0</v>
      </c>
      <c r="AB128" s="71">
        <f t="shared" si="137"/>
        <v>0</v>
      </c>
      <c r="AC128" s="70">
        <f>IF(EXACT(E127,"Y"),6,IF(EXACT(F127,"Y"),2,SUM(T128:AB128)))</f>
        <v>0</v>
      </c>
      <c r="AD128" s="40"/>
      <c r="AE128" s="2"/>
      <c r="AH128" s="2"/>
    </row>
    <row r="129" spans="1:35" x14ac:dyDescent="0.4">
      <c r="A129" s="53"/>
      <c r="B129" s="54"/>
      <c r="C129" s="54"/>
      <c r="D129" s="54"/>
      <c r="E129" s="54"/>
      <c r="F129" s="54"/>
      <c r="G129" s="59" t="s">
        <v>93</v>
      </c>
      <c r="H129" s="60">
        <f t="shared" ref="H129:P129" si="138">IF(OR(EXACT($E127,"Y"),(EXACT($F127,"Y"))),"-",H127-H128)</f>
        <v>-2</v>
      </c>
      <c r="I129" s="60">
        <f t="shared" si="138"/>
        <v>-1</v>
      </c>
      <c r="J129" s="60">
        <f t="shared" si="138"/>
        <v>-1</v>
      </c>
      <c r="K129" s="60">
        <f t="shared" si="138"/>
        <v>-1</v>
      </c>
      <c r="L129" s="60">
        <f t="shared" si="138"/>
        <v>-1</v>
      </c>
      <c r="M129" s="60">
        <f t="shared" si="138"/>
        <v>-1</v>
      </c>
      <c r="N129" s="60">
        <f t="shared" si="138"/>
        <v>-2</v>
      </c>
      <c r="O129" s="60">
        <f t="shared" si="138"/>
        <v>-1</v>
      </c>
      <c r="P129" s="60">
        <f t="shared" si="138"/>
        <v>-1</v>
      </c>
      <c r="Q129" s="61">
        <f>SUM(H129:P129)</f>
        <v>-11</v>
      </c>
      <c r="S129" s="62" t="str">
        <f>$A$124</f>
        <v>Front</v>
      </c>
      <c r="T129" s="42">
        <f t="shared" ref="T129:AB129" si="139">IF($A$124="Front",T$1,T$2)</f>
        <v>4</v>
      </c>
      <c r="U129" s="42">
        <f t="shared" si="139"/>
        <v>3</v>
      </c>
      <c r="V129" s="42">
        <f t="shared" si="139"/>
        <v>4</v>
      </c>
      <c r="W129" s="42">
        <f t="shared" si="139"/>
        <v>5</v>
      </c>
      <c r="X129" s="42">
        <f t="shared" si="139"/>
        <v>4</v>
      </c>
      <c r="Y129" s="42">
        <f t="shared" si="139"/>
        <v>3</v>
      </c>
      <c r="Z129" s="42">
        <f t="shared" si="139"/>
        <v>4</v>
      </c>
      <c r="AA129" s="42">
        <f t="shared" si="139"/>
        <v>5</v>
      </c>
      <c r="AB129" s="42">
        <f t="shared" si="139"/>
        <v>4</v>
      </c>
      <c r="AC129" s="55">
        <f>SUM(T129:AB129)</f>
        <v>36</v>
      </c>
      <c r="AD129" s="40"/>
      <c r="AE129" s="2"/>
      <c r="AH129" s="2"/>
    </row>
    <row r="130" spans="1:35" x14ac:dyDescent="0.4">
      <c r="A130" s="63" t="s">
        <v>103</v>
      </c>
      <c r="B130" s="68">
        <v>4</v>
      </c>
      <c r="C130" s="69">
        <v>8</v>
      </c>
      <c r="D130" s="68" t="str">
        <f>VLOOKUP($C130,[1]Summary!$A$4:$BL$39,4, FALSE)</f>
        <v>Scott MacKenzie</v>
      </c>
      <c r="E130" s="69"/>
      <c r="F130" s="69"/>
      <c r="G130" s="68" t="s">
        <v>89</v>
      </c>
      <c r="H130" s="69"/>
      <c r="I130" s="69"/>
      <c r="J130" s="69"/>
      <c r="K130" s="69"/>
      <c r="L130" s="69"/>
      <c r="M130" s="69"/>
      <c r="N130" s="69"/>
      <c r="O130" s="69"/>
      <c r="P130" s="69"/>
      <c r="Q130" s="70">
        <f>SUM(H130:P130)</f>
        <v>0</v>
      </c>
      <c r="S130" s="65" t="s">
        <v>90</v>
      </c>
      <c r="T130" s="51">
        <f t="shared" ref="T130:AB130" si="140">IF(H130&gt;=T132+H131+2,SUM(T132+H131+2),H130)</f>
        <v>0</v>
      </c>
      <c r="U130" s="51">
        <f t="shared" si="140"/>
        <v>0</v>
      </c>
      <c r="V130" s="51">
        <f t="shared" si="140"/>
        <v>0</v>
      </c>
      <c r="W130" s="51">
        <f t="shared" si="140"/>
        <v>0</v>
      </c>
      <c r="X130" s="51">
        <f t="shared" si="140"/>
        <v>0</v>
      </c>
      <c r="Y130" s="51">
        <f t="shared" si="140"/>
        <v>0</v>
      </c>
      <c r="Z130" s="51">
        <f t="shared" si="140"/>
        <v>0</v>
      </c>
      <c r="AA130" s="51">
        <f t="shared" si="140"/>
        <v>0</v>
      </c>
      <c r="AB130" s="51">
        <f t="shared" si="140"/>
        <v>0</v>
      </c>
      <c r="AC130" s="61">
        <f>SUM(T130:AB130)</f>
        <v>0</v>
      </c>
      <c r="AD130" s="40"/>
      <c r="AE130" s="2"/>
      <c r="AH130" s="2"/>
    </row>
    <row r="131" spans="1:35" ht="15" thickBot="1" x14ac:dyDescent="0.45">
      <c r="A131" s="53"/>
      <c r="B131" s="54"/>
      <c r="C131" s="54"/>
      <c r="D131" s="54"/>
      <c r="E131" s="54"/>
      <c r="F131" s="54"/>
      <c r="G131" s="42" t="s">
        <v>91</v>
      </c>
      <c r="H131" s="42">
        <f>IF($A$124="Front",VLOOKUP($Q131,'[1]Handicap Chart'!$B$4:$K$40,2),VLOOKUP($Q131,'[1]Handicap Chart'!$B$4:$K$40,10))</f>
        <v>2</v>
      </c>
      <c r="I131" s="42">
        <f>IF($A$124="Front",VLOOKUP($Q131,'[1]Handicap Chart'!$B$4:$K$40,4),VLOOKUP($Q131,'[1]Handicap Chart'!$B$4:$K$40,3))</f>
        <v>2</v>
      </c>
      <c r="J131" s="42">
        <f>IF($A$124="Front",VLOOKUP($Q131,'[1]Handicap Chart'!$B$4:$K$40,8),VLOOKUP($Q131,'[1]Handicap Chart'!$B$4:$K$40,6))</f>
        <v>1</v>
      </c>
      <c r="K131" s="42">
        <f>IF($A$124="Front",VLOOKUP($Q131,'[1]Handicap Chart'!$B$4:$K$40,9),VLOOKUP($Q131,'[1]Handicap Chart'!$B$4:$K$40,5))</f>
        <v>1</v>
      </c>
      <c r="L131" s="42">
        <f>IF($A$124="Front",VLOOKUP($Q131,'[1]Handicap Chart'!$B$4:$K$40,5),VLOOKUP($Q131,'[1]Handicap Chart'!$B$4:$K$40,4))</f>
        <v>1</v>
      </c>
      <c r="M131" s="42">
        <f>IF($A$124="Front",VLOOKUP($Q131,'[1]Handicap Chart'!$B$4:$K$40,10),VLOOKUP($Q131,'[1]Handicap Chart'!$B$4:$K$40,9))</f>
        <v>1</v>
      </c>
      <c r="N131" s="42">
        <f>IF($A$124="Front",VLOOKUP($Q131,'[1]Handicap Chart'!$B$4:$K$40,3),VLOOKUP($Q131,'[1]Handicap Chart'!$B$4:$K$40,7))</f>
        <v>2</v>
      </c>
      <c r="O131" s="42">
        <f>IF($A$124="Front",VLOOKUP($Q131,'[1]Handicap Chart'!$B$4:$K$40,7),VLOOKUP($Q131,'[1]Handicap Chart'!$B$4:$K$40,8))</f>
        <v>1</v>
      </c>
      <c r="P131" s="42">
        <f>IF($A$124="Front",VLOOKUP($Q131,'[1]Handicap Chart'!$B$4:$K$40,6),VLOOKUP($Q131,'[1]Handicap Chart'!$B$4:$K$40,2))</f>
        <v>1</v>
      </c>
      <c r="Q131" s="55">
        <f>VLOOKUP($C130,[1]Summary!$A$4:$BL$39,47, FALSE)</f>
        <v>12</v>
      </c>
      <c r="S131" s="71" t="s">
        <v>92</v>
      </c>
      <c r="T131" s="71">
        <f>IF(OR(EXACT($E130,"Y"),(EXACT($F130,"Y"))),"-",IF(H132-T132&gt;1,-1,IF(H132-T132=0,1,IF(H132-T132=-1,3,IF(H132-T132=-2,4,IF(H132-T132=-3,5,0))))))</f>
        <v>0</v>
      </c>
      <c r="U131" s="71">
        <f t="shared" ref="U131:AB131" si="141">IF(OR(EXACT($E130,"Y"),(EXACT($F130,"Y"))),"-",IF(I132-U132&gt;1,-1,IF(I132-U132=0,1,IF(I132-U132=-1,3,IF(I132-U132=-2,4,IF(I132-U132=-3,5,0))))))</f>
        <v>0</v>
      </c>
      <c r="V131" s="71">
        <f t="shared" si="141"/>
        <v>0</v>
      </c>
      <c r="W131" s="71">
        <f t="shared" si="141"/>
        <v>0</v>
      </c>
      <c r="X131" s="71">
        <f t="shared" si="141"/>
        <v>0</v>
      </c>
      <c r="Y131" s="71">
        <f t="shared" si="141"/>
        <v>0</v>
      </c>
      <c r="Z131" s="71">
        <f t="shared" si="141"/>
        <v>0</v>
      </c>
      <c r="AA131" s="71">
        <f t="shared" si="141"/>
        <v>0</v>
      </c>
      <c r="AB131" s="71">
        <f t="shared" si="141"/>
        <v>0</v>
      </c>
      <c r="AC131" s="70">
        <f>IF(EXACT(E130,"Y"),6,IF(EXACT(F130,"Y"),2,SUM(T131:AB131)))</f>
        <v>0</v>
      </c>
      <c r="AD131" s="40"/>
      <c r="AE131" s="2"/>
      <c r="AH131" s="2"/>
    </row>
    <row r="132" spans="1:35" ht="15" thickBot="1" x14ac:dyDescent="0.45">
      <c r="A132" s="72"/>
      <c r="B132" s="73"/>
      <c r="C132" s="73"/>
      <c r="D132" s="73"/>
      <c r="E132" s="73"/>
      <c r="F132" s="73"/>
      <c r="G132" s="74" t="s">
        <v>93</v>
      </c>
      <c r="H132" s="60">
        <f t="shared" ref="H132:P132" si="142">IF(OR(EXACT($E130,"Y"),(EXACT($F130,"Y"))),"-",H130-H131)</f>
        <v>-2</v>
      </c>
      <c r="I132" s="60">
        <f t="shared" si="142"/>
        <v>-2</v>
      </c>
      <c r="J132" s="60">
        <f t="shared" si="142"/>
        <v>-1</v>
      </c>
      <c r="K132" s="60">
        <f t="shared" si="142"/>
        <v>-1</v>
      </c>
      <c r="L132" s="60">
        <f t="shared" si="142"/>
        <v>-1</v>
      </c>
      <c r="M132" s="60">
        <f t="shared" si="142"/>
        <v>-1</v>
      </c>
      <c r="N132" s="60">
        <f t="shared" si="142"/>
        <v>-2</v>
      </c>
      <c r="O132" s="60">
        <f t="shared" si="142"/>
        <v>-1</v>
      </c>
      <c r="P132" s="60">
        <f t="shared" si="142"/>
        <v>-1</v>
      </c>
      <c r="Q132" s="75">
        <f>SUM(H132:P132)</f>
        <v>-12</v>
      </c>
      <c r="S132" s="62" t="str">
        <f>$A$124</f>
        <v>Front</v>
      </c>
      <c r="T132" s="42">
        <f t="shared" ref="T132:AB132" si="143">IF($A$124="Front",T$1,T$2)</f>
        <v>4</v>
      </c>
      <c r="U132" s="42">
        <f t="shared" si="143"/>
        <v>3</v>
      </c>
      <c r="V132" s="42">
        <f t="shared" si="143"/>
        <v>4</v>
      </c>
      <c r="W132" s="42">
        <f t="shared" si="143"/>
        <v>5</v>
      </c>
      <c r="X132" s="42">
        <f t="shared" si="143"/>
        <v>4</v>
      </c>
      <c r="Y132" s="42">
        <f t="shared" si="143"/>
        <v>3</v>
      </c>
      <c r="Z132" s="42">
        <f t="shared" si="143"/>
        <v>4</v>
      </c>
      <c r="AA132" s="42">
        <f t="shared" si="143"/>
        <v>5</v>
      </c>
      <c r="AB132" s="42">
        <f t="shared" si="143"/>
        <v>4</v>
      </c>
      <c r="AC132" s="77">
        <f>SUM(T132:AB132)</f>
        <v>36</v>
      </c>
      <c r="AD132" s="40">
        <f>B127</f>
        <v>4</v>
      </c>
      <c r="AE132" s="78">
        <f>AC128+AC131</f>
        <v>0</v>
      </c>
      <c r="AF132" s="78">
        <f>IF(AC128&gt;=AC122,IF(AC128&gt;AC122,IF(AC131&gt;=AC125,IF(AC131&gt;AC125,4,3),2),IF(AC131&gt;=AC125,IF(AC131&gt;AC125,3,2),IF(AC131&gt;=AC125,IF(AC131&gt;AC125,2,1),1))),IF(AC131&gt;=AC125,IF(AC131&gt;AC125,2,1),0))</f>
        <v>0</v>
      </c>
      <c r="AG132" s="78">
        <f>IF(AE132&gt;AE126,4,IF(AE132=AE126,2,0))</f>
        <v>0</v>
      </c>
      <c r="AH132" s="79">
        <v>8</v>
      </c>
      <c r="AI132" s="79">
        <f>SUM(AF132:AH132)</f>
        <v>8</v>
      </c>
    </row>
    <row r="133" spans="1:35" x14ac:dyDescent="0.4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40"/>
    </row>
    <row r="134" spans="1:35" x14ac:dyDescent="0.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F134" s="83"/>
      <c r="AG134" s="83"/>
    </row>
    <row r="135" spans="1:35" x14ac:dyDescent="0.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35" x14ac:dyDescent="0.4">
      <c r="A136" s="2"/>
      <c r="B136" s="2" t="s">
        <v>104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35" x14ac:dyDescent="0.4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9" spans="1:35" x14ac:dyDescent="0.4">
      <c r="H139" s="26"/>
      <c r="T139" s="2"/>
      <c r="U139" s="26"/>
      <c r="V139" s="26"/>
    </row>
    <row r="140" spans="1:35" x14ac:dyDescent="0.4">
      <c r="H140" s="2"/>
      <c r="K140" s="84"/>
      <c r="T140" s="2"/>
      <c r="U140" s="2"/>
      <c r="V140" s="2"/>
    </row>
    <row r="141" spans="1:35" x14ac:dyDescent="0.4">
      <c r="H141" s="2"/>
      <c r="K141" s="84"/>
      <c r="T141" s="2"/>
      <c r="U141" s="2"/>
      <c r="V141" s="2"/>
      <c r="AF141" s="2" t="s">
        <v>104</v>
      </c>
    </row>
    <row r="142" spans="1:35" x14ac:dyDescent="0.4">
      <c r="H142" s="2"/>
      <c r="K142" s="84"/>
      <c r="T142" s="2"/>
      <c r="U142" s="2"/>
      <c r="V142" s="2"/>
      <c r="AI142" s="1" t="s">
        <v>104</v>
      </c>
    </row>
    <row r="143" spans="1:35" x14ac:dyDescent="0.4">
      <c r="H143" s="2"/>
      <c r="K143" s="84"/>
      <c r="T143" s="2"/>
      <c r="U143" s="2"/>
      <c r="V143" s="2"/>
    </row>
    <row r="144" spans="1:35" x14ac:dyDescent="0.4">
      <c r="H144" s="2"/>
      <c r="K144" s="84"/>
      <c r="T144" s="2"/>
      <c r="U144" s="2"/>
      <c r="V144" s="2"/>
      <c r="AI144" s="1" t="s">
        <v>104</v>
      </c>
    </row>
    <row r="145" spans="8:22" x14ac:dyDescent="0.4">
      <c r="H145" s="2"/>
      <c r="K145" s="84"/>
      <c r="T145" s="2"/>
      <c r="U145" s="2"/>
      <c r="V145" s="2"/>
    </row>
    <row r="146" spans="8:22" x14ac:dyDescent="0.4">
      <c r="H146" s="2"/>
      <c r="K146" s="84"/>
      <c r="T146" s="2"/>
      <c r="U146" s="2"/>
      <c r="V146" s="2"/>
    </row>
    <row r="147" spans="8:22" x14ac:dyDescent="0.4">
      <c r="H147" s="2"/>
      <c r="K147" s="84"/>
      <c r="T147" s="2"/>
      <c r="U147" s="2"/>
      <c r="V147" s="2"/>
    </row>
    <row r="148" spans="8:22" x14ac:dyDescent="0.4">
      <c r="H148" s="2"/>
      <c r="K148" s="84"/>
      <c r="T148" s="2"/>
      <c r="U148" s="2"/>
      <c r="V148" s="2"/>
    </row>
    <row r="149" spans="8:22" x14ac:dyDescent="0.4">
      <c r="H149" s="2"/>
      <c r="K149" s="84"/>
      <c r="T149" s="2"/>
      <c r="U149" s="2"/>
      <c r="V149" s="2"/>
    </row>
    <row r="150" spans="8:22" x14ac:dyDescent="0.4">
      <c r="H150" s="2"/>
      <c r="K150" s="84"/>
      <c r="T150" s="2"/>
      <c r="U150" s="2"/>
      <c r="V150" s="2"/>
    </row>
    <row r="151" spans="8:22" x14ac:dyDescent="0.4">
      <c r="H151" s="2"/>
      <c r="K151" s="84"/>
      <c r="T151" s="2"/>
      <c r="U151" s="2"/>
      <c r="V151" s="2"/>
    </row>
    <row r="152" spans="8:22" x14ac:dyDescent="0.4">
      <c r="H152" s="2"/>
      <c r="K152" s="84"/>
      <c r="T152" s="2"/>
      <c r="U152" s="2"/>
      <c r="V152" s="2"/>
    </row>
    <row r="153" spans="8:22" x14ac:dyDescent="0.4">
      <c r="H153" s="2"/>
      <c r="K153" s="84"/>
      <c r="T153" s="2"/>
      <c r="U153" s="2"/>
      <c r="V153" s="2"/>
    </row>
    <row r="154" spans="8:22" x14ac:dyDescent="0.4">
      <c r="H154" s="2"/>
      <c r="K154" s="84"/>
      <c r="T154" s="2"/>
      <c r="U154" s="2"/>
      <c r="V154" s="2"/>
    </row>
    <row r="155" spans="8:22" x14ac:dyDescent="0.4">
      <c r="H155" s="2"/>
      <c r="K155" s="84"/>
      <c r="T155" s="2"/>
      <c r="U155" s="2"/>
      <c r="V155" s="2"/>
    </row>
    <row r="156" spans="8:22" x14ac:dyDescent="0.4">
      <c r="H156" s="2"/>
      <c r="K156" s="84"/>
      <c r="T156" s="2"/>
      <c r="U156" s="2"/>
      <c r="V156" s="2"/>
    </row>
    <row r="157" spans="8:22" x14ac:dyDescent="0.4">
      <c r="H157" s="2"/>
      <c r="K157" s="84"/>
      <c r="T157" s="2"/>
      <c r="U157" s="2"/>
      <c r="V157" s="2"/>
    </row>
  </sheetData>
  <mergeCells count="2">
    <mergeCell ref="A2:B2"/>
    <mergeCell ref="T7:W7"/>
  </mergeCells>
  <conditionalFormatting sqref="C77 C49 C21 C35 C63 C91 C105 C119">
    <cfRule type="cellIs" dxfId="18" priority="19" stopIfTrue="1" operator="greaterThan">
      <formula>36</formula>
    </cfRule>
  </conditionalFormatting>
  <conditionalFormatting sqref="C77 C49 C21 C35 C63 C91 C105 C119">
    <cfRule type="cellIs" dxfId="17" priority="18" stopIfTrue="1" operator="greaterThan">
      <formula>36</formula>
    </cfRule>
  </conditionalFormatting>
  <conditionalFormatting sqref="C77 C49 C21 C35 C63 C91 C105 C119">
    <cfRule type="cellIs" dxfId="16" priority="17" stopIfTrue="1" operator="greaterThan">
      <formula>36</formula>
    </cfRule>
  </conditionalFormatting>
  <conditionalFormatting sqref="C77 C49 C21 C35 C63 C91 C105 C119">
    <cfRule type="cellIs" dxfId="15" priority="16" stopIfTrue="1" operator="greaterThan">
      <formula>36</formula>
    </cfRule>
  </conditionalFormatting>
  <conditionalFormatting sqref="C77 C49 C21 C35 C63 C91 C105 C119">
    <cfRule type="cellIs" dxfId="14" priority="15" stopIfTrue="1" operator="greaterThan">
      <formula>36</formula>
    </cfRule>
  </conditionalFormatting>
  <conditionalFormatting sqref="C77 C49 C21 C35 C63 C91 C105 C119">
    <cfRule type="cellIs" dxfId="13" priority="14" stopIfTrue="1" operator="greaterThan">
      <formula>36</formula>
    </cfRule>
  </conditionalFormatting>
  <conditionalFormatting sqref="C77 C49 C21 C35 C63 C91 C105 C119">
    <cfRule type="cellIs" dxfId="12" priority="13" stopIfTrue="1" operator="greaterThan">
      <formula>36</formula>
    </cfRule>
  </conditionalFormatting>
  <conditionalFormatting sqref="C77 C49 C21 C35 C63 C91 C105 C119">
    <cfRule type="cellIs" dxfId="11" priority="12" stopIfTrue="1" operator="greaterThan">
      <formula>36</formula>
    </cfRule>
  </conditionalFormatting>
  <conditionalFormatting sqref="C77 C49 C21 C35 C63 C91 C105 C119">
    <cfRule type="cellIs" dxfId="10" priority="11" stopIfTrue="1" operator="greaterThan">
      <formula>36</formula>
    </cfRule>
  </conditionalFormatting>
  <conditionalFormatting sqref="C77 C49 C21 C35 C63 C91 C105 C119">
    <cfRule type="cellIs" dxfId="9" priority="10" stopIfTrue="1" operator="greaterThan">
      <formula>36</formula>
    </cfRule>
  </conditionalFormatting>
  <conditionalFormatting sqref="C77 C49 C21 C35 C63 C91 C105 C119">
    <cfRule type="cellIs" dxfId="8" priority="9" stopIfTrue="1" operator="greaterThan">
      <formula>36</formula>
    </cfRule>
  </conditionalFormatting>
  <conditionalFormatting sqref="C77 C49 C21 C35 C63 C91 C105 C119">
    <cfRule type="cellIs" dxfId="7" priority="8" stopIfTrue="1" operator="greaterThan">
      <formula>36</formula>
    </cfRule>
  </conditionalFormatting>
  <conditionalFormatting sqref="C77 C49 C21 C35 C63 C91 C105 C119">
    <cfRule type="cellIs" dxfId="6" priority="7" stopIfTrue="1" operator="greaterThan">
      <formula>36</formula>
    </cfRule>
  </conditionalFormatting>
  <conditionalFormatting sqref="C77 C49 C21 C35 C63 C91 C105 C119">
    <cfRule type="cellIs" dxfId="5" priority="6" stopIfTrue="1" operator="greaterThan">
      <formula>36</formula>
    </cfRule>
  </conditionalFormatting>
  <conditionalFormatting sqref="C77 C49 C21 C35 C63 C91 C105 C119">
    <cfRule type="cellIs" dxfId="4" priority="5" stopIfTrue="1" operator="greaterThan">
      <formula>36</formula>
    </cfRule>
  </conditionalFormatting>
  <conditionalFormatting sqref="C77 C49 C21 C35 C63 C91 C105 C119">
    <cfRule type="cellIs" dxfId="3" priority="4" stopIfTrue="1" operator="greaterThan">
      <formula>36</formula>
    </cfRule>
  </conditionalFormatting>
  <conditionalFormatting sqref="C77 C49 C21 C35 C63 C91 C105 C119">
    <cfRule type="cellIs" dxfId="2" priority="3" stopIfTrue="1" operator="greaterThan">
      <formula>36</formula>
    </cfRule>
  </conditionalFormatting>
  <conditionalFormatting sqref="C77 C49 C21 C35 C63 C91 C105 C119">
    <cfRule type="cellIs" dxfId="1" priority="2" stopIfTrue="1" operator="greaterThan">
      <formula>36</formula>
    </cfRule>
  </conditionalFormatting>
  <conditionalFormatting sqref="A6">
    <cfRule type="cellIs" dxfId="0" priority="1" stopIfTrue="1" operator="equal">
      <formula>"Yes"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Button 1">
              <controlPr defaultSize="0" print="0" autoFill="0" autoPict="0" macro="[1]!'WeeksScoringTasks(&quot;Week3&quot;)'">
                <anchor moveWithCells="1" sizeWithCells="1">
                  <from>
                    <xdr:col>7</xdr:col>
                    <xdr:colOff>212271</xdr:colOff>
                    <xdr:row>0</xdr:row>
                    <xdr:rowOff>125186</xdr:rowOff>
                  </from>
                  <to>
                    <xdr:col>13</xdr:col>
                    <xdr:colOff>32657</xdr:colOff>
                    <xdr:row>2</xdr:row>
                    <xdr:rowOff>97971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Button 2">
              <controlPr defaultSize="0" print="0" autoFill="0" autoPict="0" macro="[1]!'WeeksScoringTasks(&quot;Week3&quot;)'">
                <anchor moveWithCells="1" sizeWithCells="1">
                  <from>
                    <xdr:col>7</xdr:col>
                    <xdr:colOff>212271</xdr:colOff>
                    <xdr:row>0</xdr:row>
                    <xdr:rowOff>125186</xdr:rowOff>
                  </from>
                  <to>
                    <xdr:col>13</xdr:col>
                    <xdr:colOff>32657</xdr:colOff>
                    <xdr:row>2</xdr:row>
                    <xdr:rowOff>97971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C798-0E2E-4794-9F7A-894157A7568B}">
  <dimension ref="A1:AB37"/>
  <sheetViews>
    <sheetView workbookViewId="0">
      <selection activeCell="H12" sqref="H12"/>
    </sheetView>
  </sheetViews>
  <sheetFormatPr defaultColWidth="9.07421875" defaultRowHeight="10.75" x14ac:dyDescent="0.3"/>
  <cols>
    <col min="1" max="1" width="7.53515625" style="10" bestFit="1" customWidth="1"/>
    <col min="2" max="2" width="6.84375" style="10" bestFit="1" customWidth="1"/>
    <col min="3" max="3" width="13.4609375" style="10" bestFit="1" customWidth="1"/>
    <col min="4" max="4" width="5.84375" style="10" bestFit="1" customWidth="1"/>
    <col min="5" max="5" width="5.84375" style="10" customWidth="1"/>
    <col min="6" max="12" width="5.84375" style="10" bestFit="1" customWidth="1"/>
    <col min="13" max="13" width="5.84375" style="10" customWidth="1"/>
    <col min="14" max="21" width="6.53515625" style="10" bestFit="1" customWidth="1"/>
    <col min="22" max="22" width="11.84375" style="10" bestFit="1" customWidth="1"/>
    <col min="23" max="23" width="8.84375" style="10" bestFit="1" customWidth="1"/>
    <col min="24" max="25" width="2.07421875" style="10" customWidth="1"/>
    <col min="26" max="26" width="31.4609375" style="10" bestFit="1" customWidth="1"/>
    <col min="27" max="27" width="6.07421875" style="10" bestFit="1" customWidth="1"/>
    <col min="28" max="29" width="9.07421875" style="10"/>
    <col min="30" max="30" width="26.4609375" style="10" bestFit="1" customWidth="1"/>
    <col min="31" max="256" width="9.07421875" style="10"/>
    <col min="257" max="257" width="7.53515625" style="10" bestFit="1" customWidth="1"/>
    <col min="258" max="258" width="6.84375" style="10" bestFit="1" customWidth="1"/>
    <col min="259" max="259" width="13.4609375" style="10" bestFit="1" customWidth="1"/>
    <col min="260" max="260" width="5.84375" style="10" bestFit="1" customWidth="1"/>
    <col min="261" max="261" width="5.84375" style="10" customWidth="1"/>
    <col min="262" max="268" width="5.84375" style="10" bestFit="1" customWidth="1"/>
    <col min="269" max="269" width="5.84375" style="10" customWidth="1"/>
    <col min="270" max="277" width="6.53515625" style="10" bestFit="1" customWidth="1"/>
    <col min="278" max="278" width="11.84375" style="10" bestFit="1" customWidth="1"/>
    <col min="279" max="279" width="8.84375" style="10" bestFit="1" customWidth="1"/>
    <col min="280" max="281" width="2.07421875" style="10" customWidth="1"/>
    <col min="282" max="282" width="31.4609375" style="10" bestFit="1" customWidth="1"/>
    <col min="283" max="283" width="6.07421875" style="10" bestFit="1" customWidth="1"/>
    <col min="284" max="285" width="9.07421875" style="10"/>
    <col min="286" max="286" width="26.4609375" style="10" bestFit="1" customWidth="1"/>
    <col min="287" max="512" width="9.07421875" style="10"/>
    <col min="513" max="513" width="7.53515625" style="10" bestFit="1" customWidth="1"/>
    <col min="514" max="514" width="6.84375" style="10" bestFit="1" customWidth="1"/>
    <col min="515" max="515" width="13.4609375" style="10" bestFit="1" customWidth="1"/>
    <col min="516" max="516" width="5.84375" style="10" bestFit="1" customWidth="1"/>
    <col min="517" max="517" width="5.84375" style="10" customWidth="1"/>
    <col min="518" max="524" width="5.84375" style="10" bestFit="1" customWidth="1"/>
    <col min="525" max="525" width="5.84375" style="10" customWidth="1"/>
    <col min="526" max="533" width="6.53515625" style="10" bestFit="1" customWidth="1"/>
    <col min="534" max="534" width="11.84375" style="10" bestFit="1" customWidth="1"/>
    <col min="535" max="535" width="8.84375" style="10" bestFit="1" customWidth="1"/>
    <col min="536" max="537" width="2.07421875" style="10" customWidth="1"/>
    <col min="538" max="538" width="31.4609375" style="10" bestFit="1" customWidth="1"/>
    <col min="539" max="539" width="6.07421875" style="10" bestFit="1" customWidth="1"/>
    <col min="540" max="541" width="9.07421875" style="10"/>
    <col min="542" max="542" width="26.4609375" style="10" bestFit="1" customWidth="1"/>
    <col min="543" max="768" width="9.07421875" style="10"/>
    <col min="769" max="769" width="7.53515625" style="10" bestFit="1" customWidth="1"/>
    <col min="770" max="770" width="6.84375" style="10" bestFit="1" customWidth="1"/>
    <col min="771" max="771" width="13.4609375" style="10" bestFit="1" customWidth="1"/>
    <col min="772" max="772" width="5.84375" style="10" bestFit="1" customWidth="1"/>
    <col min="773" max="773" width="5.84375" style="10" customWidth="1"/>
    <col min="774" max="780" width="5.84375" style="10" bestFit="1" customWidth="1"/>
    <col min="781" max="781" width="5.84375" style="10" customWidth="1"/>
    <col min="782" max="789" width="6.53515625" style="10" bestFit="1" customWidth="1"/>
    <col min="790" max="790" width="11.84375" style="10" bestFit="1" customWidth="1"/>
    <col min="791" max="791" width="8.84375" style="10" bestFit="1" customWidth="1"/>
    <col min="792" max="793" width="2.07421875" style="10" customWidth="1"/>
    <col min="794" max="794" width="31.4609375" style="10" bestFit="1" customWidth="1"/>
    <col min="795" max="795" width="6.07421875" style="10" bestFit="1" customWidth="1"/>
    <col min="796" max="797" width="9.07421875" style="10"/>
    <col min="798" max="798" width="26.4609375" style="10" bestFit="1" customWidth="1"/>
    <col min="799" max="1024" width="9.07421875" style="10"/>
    <col min="1025" max="1025" width="7.53515625" style="10" bestFit="1" customWidth="1"/>
    <col min="1026" max="1026" width="6.84375" style="10" bestFit="1" customWidth="1"/>
    <col min="1027" max="1027" width="13.4609375" style="10" bestFit="1" customWidth="1"/>
    <col min="1028" max="1028" width="5.84375" style="10" bestFit="1" customWidth="1"/>
    <col min="1029" max="1029" width="5.84375" style="10" customWidth="1"/>
    <col min="1030" max="1036" width="5.84375" style="10" bestFit="1" customWidth="1"/>
    <col min="1037" max="1037" width="5.84375" style="10" customWidth="1"/>
    <col min="1038" max="1045" width="6.53515625" style="10" bestFit="1" customWidth="1"/>
    <col min="1046" max="1046" width="11.84375" style="10" bestFit="1" customWidth="1"/>
    <col min="1047" max="1047" width="8.84375" style="10" bestFit="1" customWidth="1"/>
    <col min="1048" max="1049" width="2.07421875" style="10" customWidth="1"/>
    <col min="1050" max="1050" width="31.4609375" style="10" bestFit="1" customWidth="1"/>
    <col min="1051" max="1051" width="6.07421875" style="10" bestFit="1" customWidth="1"/>
    <col min="1052" max="1053" width="9.07421875" style="10"/>
    <col min="1054" max="1054" width="26.4609375" style="10" bestFit="1" customWidth="1"/>
    <col min="1055" max="1280" width="9.07421875" style="10"/>
    <col min="1281" max="1281" width="7.53515625" style="10" bestFit="1" customWidth="1"/>
    <col min="1282" max="1282" width="6.84375" style="10" bestFit="1" customWidth="1"/>
    <col min="1283" max="1283" width="13.4609375" style="10" bestFit="1" customWidth="1"/>
    <col min="1284" max="1284" width="5.84375" style="10" bestFit="1" customWidth="1"/>
    <col min="1285" max="1285" width="5.84375" style="10" customWidth="1"/>
    <col min="1286" max="1292" width="5.84375" style="10" bestFit="1" customWidth="1"/>
    <col min="1293" max="1293" width="5.84375" style="10" customWidth="1"/>
    <col min="1294" max="1301" width="6.53515625" style="10" bestFit="1" customWidth="1"/>
    <col min="1302" max="1302" width="11.84375" style="10" bestFit="1" customWidth="1"/>
    <col min="1303" max="1303" width="8.84375" style="10" bestFit="1" customWidth="1"/>
    <col min="1304" max="1305" width="2.07421875" style="10" customWidth="1"/>
    <col min="1306" max="1306" width="31.4609375" style="10" bestFit="1" customWidth="1"/>
    <col min="1307" max="1307" width="6.07421875" style="10" bestFit="1" customWidth="1"/>
    <col min="1308" max="1309" width="9.07421875" style="10"/>
    <col min="1310" max="1310" width="26.4609375" style="10" bestFit="1" customWidth="1"/>
    <col min="1311" max="1536" width="9.07421875" style="10"/>
    <col min="1537" max="1537" width="7.53515625" style="10" bestFit="1" customWidth="1"/>
    <col min="1538" max="1538" width="6.84375" style="10" bestFit="1" customWidth="1"/>
    <col min="1539" max="1539" width="13.4609375" style="10" bestFit="1" customWidth="1"/>
    <col min="1540" max="1540" width="5.84375" style="10" bestFit="1" customWidth="1"/>
    <col min="1541" max="1541" width="5.84375" style="10" customWidth="1"/>
    <col min="1542" max="1548" width="5.84375" style="10" bestFit="1" customWidth="1"/>
    <col min="1549" max="1549" width="5.84375" style="10" customWidth="1"/>
    <col min="1550" max="1557" width="6.53515625" style="10" bestFit="1" customWidth="1"/>
    <col min="1558" max="1558" width="11.84375" style="10" bestFit="1" customWidth="1"/>
    <col min="1559" max="1559" width="8.84375" style="10" bestFit="1" customWidth="1"/>
    <col min="1560" max="1561" width="2.07421875" style="10" customWidth="1"/>
    <col min="1562" max="1562" width="31.4609375" style="10" bestFit="1" customWidth="1"/>
    <col min="1563" max="1563" width="6.07421875" style="10" bestFit="1" customWidth="1"/>
    <col min="1564" max="1565" width="9.07421875" style="10"/>
    <col min="1566" max="1566" width="26.4609375" style="10" bestFit="1" customWidth="1"/>
    <col min="1567" max="1792" width="9.07421875" style="10"/>
    <col min="1793" max="1793" width="7.53515625" style="10" bestFit="1" customWidth="1"/>
    <col min="1794" max="1794" width="6.84375" style="10" bestFit="1" customWidth="1"/>
    <col min="1795" max="1795" width="13.4609375" style="10" bestFit="1" customWidth="1"/>
    <col min="1796" max="1796" width="5.84375" style="10" bestFit="1" customWidth="1"/>
    <col min="1797" max="1797" width="5.84375" style="10" customWidth="1"/>
    <col min="1798" max="1804" width="5.84375" style="10" bestFit="1" customWidth="1"/>
    <col min="1805" max="1805" width="5.84375" style="10" customWidth="1"/>
    <col min="1806" max="1813" width="6.53515625" style="10" bestFit="1" customWidth="1"/>
    <col min="1814" max="1814" width="11.84375" style="10" bestFit="1" customWidth="1"/>
    <col min="1815" max="1815" width="8.84375" style="10" bestFit="1" customWidth="1"/>
    <col min="1816" max="1817" width="2.07421875" style="10" customWidth="1"/>
    <col min="1818" max="1818" width="31.4609375" style="10" bestFit="1" customWidth="1"/>
    <col min="1819" max="1819" width="6.07421875" style="10" bestFit="1" customWidth="1"/>
    <col min="1820" max="1821" width="9.07421875" style="10"/>
    <col min="1822" max="1822" width="26.4609375" style="10" bestFit="1" customWidth="1"/>
    <col min="1823" max="2048" width="9.07421875" style="10"/>
    <col min="2049" max="2049" width="7.53515625" style="10" bestFit="1" customWidth="1"/>
    <col min="2050" max="2050" width="6.84375" style="10" bestFit="1" customWidth="1"/>
    <col min="2051" max="2051" width="13.4609375" style="10" bestFit="1" customWidth="1"/>
    <col min="2052" max="2052" width="5.84375" style="10" bestFit="1" customWidth="1"/>
    <col min="2053" max="2053" width="5.84375" style="10" customWidth="1"/>
    <col min="2054" max="2060" width="5.84375" style="10" bestFit="1" customWidth="1"/>
    <col min="2061" max="2061" width="5.84375" style="10" customWidth="1"/>
    <col min="2062" max="2069" width="6.53515625" style="10" bestFit="1" customWidth="1"/>
    <col min="2070" max="2070" width="11.84375" style="10" bestFit="1" customWidth="1"/>
    <col min="2071" max="2071" width="8.84375" style="10" bestFit="1" customWidth="1"/>
    <col min="2072" max="2073" width="2.07421875" style="10" customWidth="1"/>
    <col min="2074" max="2074" width="31.4609375" style="10" bestFit="1" customWidth="1"/>
    <col min="2075" max="2075" width="6.07421875" style="10" bestFit="1" customWidth="1"/>
    <col min="2076" max="2077" width="9.07421875" style="10"/>
    <col min="2078" max="2078" width="26.4609375" style="10" bestFit="1" customWidth="1"/>
    <col min="2079" max="2304" width="9.07421875" style="10"/>
    <col min="2305" max="2305" width="7.53515625" style="10" bestFit="1" customWidth="1"/>
    <col min="2306" max="2306" width="6.84375" style="10" bestFit="1" customWidth="1"/>
    <col min="2307" max="2307" width="13.4609375" style="10" bestFit="1" customWidth="1"/>
    <col min="2308" max="2308" width="5.84375" style="10" bestFit="1" customWidth="1"/>
    <col min="2309" max="2309" width="5.84375" style="10" customWidth="1"/>
    <col min="2310" max="2316" width="5.84375" style="10" bestFit="1" customWidth="1"/>
    <col min="2317" max="2317" width="5.84375" style="10" customWidth="1"/>
    <col min="2318" max="2325" width="6.53515625" style="10" bestFit="1" customWidth="1"/>
    <col min="2326" max="2326" width="11.84375" style="10" bestFit="1" customWidth="1"/>
    <col min="2327" max="2327" width="8.84375" style="10" bestFit="1" customWidth="1"/>
    <col min="2328" max="2329" width="2.07421875" style="10" customWidth="1"/>
    <col min="2330" max="2330" width="31.4609375" style="10" bestFit="1" customWidth="1"/>
    <col min="2331" max="2331" width="6.07421875" style="10" bestFit="1" customWidth="1"/>
    <col min="2332" max="2333" width="9.07421875" style="10"/>
    <col min="2334" max="2334" width="26.4609375" style="10" bestFit="1" customWidth="1"/>
    <col min="2335" max="2560" width="9.07421875" style="10"/>
    <col min="2561" max="2561" width="7.53515625" style="10" bestFit="1" customWidth="1"/>
    <col min="2562" max="2562" width="6.84375" style="10" bestFit="1" customWidth="1"/>
    <col min="2563" max="2563" width="13.4609375" style="10" bestFit="1" customWidth="1"/>
    <col min="2564" max="2564" width="5.84375" style="10" bestFit="1" customWidth="1"/>
    <col min="2565" max="2565" width="5.84375" style="10" customWidth="1"/>
    <col min="2566" max="2572" width="5.84375" style="10" bestFit="1" customWidth="1"/>
    <col min="2573" max="2573" width="5.84375" style="10" customWidth="1"/>
    <col min="2574" max="2581" width="6.53515625" style="10" bestFit="1" customWidth="1"/>
    <col min="2582" max="2582" width="11.84375" style="10" bestFit="1" customWidth="1"/>
    <col min="2583" max="2583" width="8.84375" style="10" bestFit="1" customWidth="1"/>
    <col min="2584" max="2585" width="2.07421875" style="10" customWidth="1"/>
    <col min="2586" max="2586" width="31.4609375" style="10" bestFit="1" customWidth="1"/>
    <col min="2587" max="2587" width="6.07421875" style="10" bestFit="1" customWidth="1"/>
    <col min="2588" max="2589" width="9.07421875" style="10"/>
    <col min="2590" max="2590" width="26.4609375" style="10" bestFit="1" customWidth="1"/>
    <col min="2591" max="2816" width="9.07421875" style="10"/>
    <col min="2817" max="2817" width="7.53515625" style="10" bestFit="1" customWidth="1"/>
    <col min="2818" max="2818" width="6.84375" style="10" bestFit="1" customWidth="1"/>
    <col min="2819" max="2819" width="13.4609375" style="10" bestFit="1" customWidth="1"/>
    <col min="2820" max="2820" width="5.84375" style="10" bestFit="1" customWidth="1"/>
    <col min="2821" max="2821" width="5.84375" style="10" customWidth="1"/>
    <col min="2822" max="2828" width="5.84375" style="10" bestFit="1" customWidth="1"/>
    <col min="2829" max="2829" width="5.84375" style="10" customWidth="1"/>
    <col min="2830" max="2837" width="6.53515625" style="10" bestFit="1" customWidth="1"/>
    <col min="2838" max="2838" width="11.84375" style="10" bestFit="1" customWidth="1"/>
    <col min="2839" max="2839" width="8.84375" style="10" bestFit="1" customWidth="1"/>
    <col min="2840" max="2841" width="2.07421875" style="10" customWidth="1"/>
    <col min="2842" max="2842" width="31.4609375" style="10" bestFit="1" customWidth="1"/>
    <col min="2843" max="2843" width="6.07421875" style="10" bestFit="1" customWidth="1"/>
    <col min="2844" max="2845" width="9.07421875" style="10"/>
    <col min="2846" max="2846" width="26.4609375" style="10" bestFit="1" customWidth="1"/>
    <col min="2847" max="3072" width="9.07421875" style="10"/>
    <col min="3073" max="3073" width="7.53515625" style="10" bestFit="1" customWidth="1"/>
    <col min="3074" max="3074" width="6.84375" style="10" bestFit="1" customWidth="1"/>
    <col min="3075" max="3075" width="13.4609375" style="10" bestFit="1" customWidth="1"/>
    <col min="3076" max="3076" width="5.84375" style="10" bestFit="1" customWidth="1"/>
    <col min="3077" max="3077" width="5.84375" style="10" customWidth="1"/>
    <col min="3078" max="3084" width="5.84375" style="10" bestFit="1" customWidth="1"/>
    <col min="3085" max="3085" width="5.84375" style="10" customWidth="1"/>
    <col min="3086" max="3093" width="6.53515625" style="10" bestFit="1" customWidth="1"/>
    <col min="3094" max="3094" width="11.84375" style="10" bestFit="1" customWidth="1"/>
    <col min="3095" max="3095" width="8.84375" style="10" bestFit="1" customWidth="1"/>
    <col min="3096" max="3097" width="2.07421875" style="10" customWidth="1"/>
    <col min="3098" max="3098" width="31.4609375" style="10" bestFit="1" customWidth="1"/>
    <col min="3099" max="3099" width="6.07421875" style="10" bestFit="1" customWidth="1"/>
    <col min="3100" max="3101" width="9.07421875" style="10"/>
    <col min="3102" max="3102" width="26.4609375" style="10" bestFit="1" customWidth="1"/>
    <col min="3103" max="3328" width="9.07421875" style="10"/>
    <col min="3329" max="3329" width="7.53515625" style="10" bestFit="1" customWidth="1"/>
    <col min="3330" max="3330" width="6.84375" style="10" bestFit="1" customWidth="1"/>
    <col min="3331" max="3331" width="13.4609375" style="10" bestFit="1" customWidth="1"/>
    <col min="3332" max="3332" width="5.84375" style="10" bestFit="1" customWidth="1"/>
    <col min="3333" max="3333" width="5.84375" style="10" customWidth="1"/>
    <col min="3334" max="3340" width="5.84375" style="10" bestFit="1" customWidth="1"/>
    <col min="3341" max="3341" width="5.84375" style="10" customWidth="1"/>
    <col min="3342" max="3349" width="6.53515625" style="10" bestFit="1" customWidth="1"/>
    <col min="3350" max="3350" width="11.84375" style="10" bestFit="1" customWidth="1"/>
    <col min="3351" max="3351" width="8.84375" style="10" bestFit="1" customWidth="1"/>
    <col min="3352" max="3353" width="2.07421875" style="10" customWidth="1"/>
    <col min="3354" max="3354" width="31.4609375" style="10" bestFit="1" customWidth="1"/>
    <col min="3355" max="3355" width="6.07421875" style="10" bestFit="1" customWidth="1"/>
    <col min="3356" max="3357" width="9.07421875" style="10"/>
    <col min="3358" max="3358" width="26.4609375" style="10" bestFit="1" customWidth="1"/>
    <col min="3359" max="3584" width="9.07421875" style="10"/>
    <col min="3585" max="3585" width="7.53515625" style="10" bestFit="1" customWidth="1"/>
    <col min="3586" max="3586" width="6.84375" style="10" bestFit="1" customWidth="1"/>
    <col min="3587" max="3587" width="13.4609375" style="10" bestFit="1" customWidth="1"/>
    <col min="3588" max="3588" width="5.84375" style="10" bestFit="1" customWidth="1"/>
    <col min="3589" max="3589" width="5.84375" style="10" customWidth="1"/>
    <col min="3590" max="3596" width="5.84375" style="10" bestFit="1" customWidth="1"/>
    <col min="3597" max="3597" width="5.84375" style="10" customWidth="1"/>
    <col min="3598" max="3605" width="6.53515625" style="10" bestFit="1" customWidth="1"/>
    <col min="3606" max="3606" width="11.84375" style="10" bestFit="1" customWidth="1"/>
    <col min="3607" max="3607" width="8.84375" style="10" bestFit="1" customWidth="1"/>
    <col min="3608" max="3609" width="2.07421875" style="10" customWidth="1"/>
    <col min="3610" max="3610" width="31.4609375" style="10" bestFit="1" customWidth="1"/>
    <col min="3611" max="3611" width="6.07421875" style="10" bestFit="1" customWidth="1"/>
    <col min="3612" max="3613" width="9.07421875" style="10"/>
    <col min="3614" max="3614" width="26.4609375" style="10" bestFit="1" customWidth="1"/>
    <col min="3615" max="3840" width="9.07421875" style="10"/>
    <col min="3841" max="3841" width="7.53515625" style="10" bestFit="1" customWidth="1"/>
    <col min="3842" max="3842" width="6.84375" style="10" bestFit="1" customWidth="1"/>
    <col min="3843" max="3843" width="13.4609375" style="10" bestFit="1" customWidth="1"/>
    <col min="3844" max="3844" width="5.84375" style="10" bestFit="1" customWidth="1"/>
    <col min="3845" max="3845" width="5.84375" style="10" customWidth="1"/>
    <col min="3846" max="3852" width="5.84375" style="10" bestFit="1" customWidth="1"/>
    <col min="3853" max="3853" width="5.84375" style="10" customWidth="1"/>
    <col min="3854" max="3861" width="6.53515625" style="10" bestFit="1" customWidth="1"/>
    <col min="3862" max="3862" width="11.84375" style="10" bestFit="1" customWidth="1"/>
    <col min="3863" max="3863" width="8.84375" style="10" bestFit="1" customWidth="1"/>
    <col min="3864" max="3865" width="2.07421875" style="10" customWidth="1"/>
    <col min="3866" max="3866" width="31.4609375" style="10" bestFit="1" customWidth="1"/>
    <col min="3867" max="3867" width="6.07421875" style="10" bestFit="1" customWidth="1"/>
    <col min="3868" max="3869" width="9.07421875" style="10"/>
    <col min="3870" max="3870" width="26.4609375" style="10" bestFit="1" customWidth="1"/>
    <col min="3871" max="4096" width="9.07421875" style="10"/>
    <col min="4097" max="4097" width="7.53515625" style="10" bestFit="1" customWidth="1"/>
    <col min="4098" max="4098" width="6.84375" style="10" bestFit="1" customWidth="1"/>
    <col min="4099" max="4099" width="13.4609375" style="10" bestFit="1" customWidth="1"/>
    <col min="4100" max="4100" width="5.84375" style="10" bestFit="1" customWidth="1"/>
    <col min="4101" max="4101" width="5.84375" style="10" customWidth="1"/>
    <col min="4102" max="4108" width="5.84375" style="10" bestFit="1" customWidth="1"/>
    <col min="4109" max="4109" width="5.84375" style="10" customWidth="1"/>
    <col min="4110" max="4117" width="6.53515625" style="10" bestFit="1" customWidth="1"/>
    <col min="4118" max="4118" width="11.84375" style="10" bestFit="1" customWidth="1"/>
    <col min="4119" max="4119" width="8.84375" style="10" bestFit="1" customWidth="1"/>
    <col min="4120" max="4121" width="2.07421875" style="10" customWidth="1"/>
    <col min="4122" max="4122" width="31.4609375" style="10" bestFit="1" customWidth="1"/>
    <col min="4123" max="4123" width="6.07421875" style="10" bestFit="1" customWidth="1"/>
    <col min="4124" max="4125" width="9.07421875" style="10"/>
    <col min="4126" max="4126" width="26.4609375" style="10" bestFit="1" customWidth="1"/>
    <col min="4127" max="4352" width="9.07421875" style="10"/>
    <col min="4353" max="4353" width="7.53515625" style="10" bestFit="1" customWidth="1"/>
    <col min="4354" max="4354" width="6.84375" style="10" bestFit="1" customWidth="1"/>
    <col min="4355" max="4355" width="13.4609375" style="10" bestFit="1" customWidth="1"/>
    <col min="4356" max="4356" width="5.84375" style="10" bestFit="1" customWidth="1"/>
    <col min="4357" max="4357" width="5.84375" style="10" customWidth="1"/>
    <col min="4358" max="4364" width="5.84375" style="10" bestFit="1" customWidth="1"/>
    <col min="4365" max="4365" width="5.84375" style="10" customWidth="1"/>
    <col min="4366" max="4373" width="6.53515625" style="10" bestFit="1" customWidth="1"/>
    <col min="4374" max="4374" width="11.84375" style="10" bestFit="1" customWidth="1"/>
    <col min="4375" max="4375" width="8.84375" style="10" bestFit="1" customWidth="1"/>
    <col min="4376" max="4377" width="2.07421875" style="10" customWidth="1"/>
    <col min="4378" max="4378" width="31.4609375" style="10" bestFit="1" customWidth="1"/>
    <col min="4379" max="4379" width="6.07421875" style="10" bestFit="1" customWidth="1"/>
    <col min="4380" max="4381" width="9.07421875" style="10"/>
    <col min="4382" max="4382" width="26.4609375" style="10" bestFit="1" customWidth="1"/>
    <col min="4383" max="4608" width="9.07421875" style="10"/>
    <col min="4609" max="4609" width="7.53515625" style="10" bestFit="1" customWidth="1"/>
    <col min="4610" max="4610" width="6.84375" style="10" bestFit="1" customWidth="1"/>
    <col min="4611" max="4611" width="13.4609375" style="10" bestFit="1" customWidth="1"/>
    <col min="4612" max="4612" width="5.84375" style="10" bestFit="1" customWidth="1"/>
    <col min="4613" max="4613" width="5.84375" style="10" customWidth="1"/>
    <col min="4614" max="4620" width="5.84375" style="10" bestFit="1" customWidth="1"/>
    <col min="4621" max="4621" width="5.84375" style="10" customWidth="1"/>
    <col min="4622" max="4629" width="6.53515625" style="10" bestFit="1" customWidth="1"/>
    <col min="4630" max="4630" width="11.84375" style="10" bestFit="1" customWidth="1"/>
    <col min="4631" max="4631" width="8.84375" style="10" bestFit="1" customWidth="1"/>
    <col min="4632" max="4633" width="2.07421875" style="10" customWidth="1"/>
    <col min="4634" max="4634" width="31.4609375" style="10" bestFit="1" customWidth="1"/>
    <col min="4635" max="4635" width="6.07421875" style="10" bestFit="1" customWidth="1"/>
    <col min="4636" max="4637" width="9.07421875" style="10"/>
    <col min="4638" max="4638" width="26.4609375" style="10" bestFit="1" customWidth="1"/>
    <col min="4639" max="4864" width="9.07421875" style="10"/>
    <col min="4865" max="4865" width="7.53515625" style="10" bestFit="1" customWidth="1"/>
    <col min="4866" max="4866" width="6.84375" style="10" bestFit="1" customWidth="1"/>
    <col min="4867" max="4867" width="13.4609375" style="10" bestFit="1" customWidth="1"/>
    <col min="4868" max="4868" width="5.84375" style="10" bestFit="1" customWidth="1"/>
    <col min="4869" max="4869" width="5.84375" style="10" customWidth="1"/>
    <col min="4870" max="4876" width="5.84375" style="10" bestFit="1" customWidth="1"/>
    <col min="4877" max="4877" width="5.84375" style="10" customWidth="1"/>
    <col min="4878" max="4885" width="6.53515625" style="10" bestFit="1" customWidth="1"/>
    <col min="4886" max="4886" width="11.84375" style="10" bestFit="1" customWidth="1"/>
    <col min="4887" max="4887" width="8.84375" style="10" bestFit="1" customWidth="1"/>
    <col min="4888" max="4889" width="2.07421875" style="10" customWidth="1"/>
    <col min="4890" max="4890" width="31.4609375" style="10" bestFit="1" customWidth="1"/>
    <col min="4891" max="4891" width="6.07421875" style="10" bestFit="1" customWidth="1"/>
    <col min="4892" max="4893" width="9.07421875" style="10"/>
    <col min="4894" max="4894" width="26.4609375" style="10" bestFit="1" customWidth="1"/>
    <col min="4895" max="5120" width="9.07421875" style="10"/>
    <col min="5121" max="5121" width="7.53515625" style="10" bestFit="1" customWidth="1"/>
    <col min="5122" max="5122" width="6.84375" style="10" bestFit="1" customWidth="1"/>
    <col min="5123" max="5123" width="13.4609375" style="10" bestFit="1" customWidth="1"/>
    <col min="5124" max="5124" width="5.84375" style="10" bestFit="1" customWidth="1"/>
    <col min="5125" max="5125" width="5.84375" style="10" customWidth="1"/>
    <col min="5126" max="5132" width="5.84375" style="10" bestFit="1" customWidth="1"/>
    <col min="5133" max="5133" width="5.84375" style="10" customWidth="1"/>
    <col min="5134" max="5141" width="6.53515625" style="10" bestFit="1" customWidth="1"/>
    <col min="5142" max="5142" width="11.84375" style="10" bestFit="1" customWidth="1"/>
    <col min="5143" max="5143" width="8.84375" style="10" bestFit="1" customWidth="1"/>
    <col min="5144" max="5145" width="2.07421875" style="10" customWidth="1"/>
    <col min="5146" max="5146" width="31.4609375" style="10" bestFit="1" customWidth="1"/>
    <col min="5147" max="5147" width="6.07421875" style="10" bestFit="1" customWidth="1"/>
    <col min="5148" max="5149" width="9.07421875" style="10"/>
    <col min="5150" max="5150" width="26.4609375" style="10" bestFit="1" customWidth="1"/>
    <col min="5151" max="5376" width="9.07421875" style="10"/>
    <col min="5377" max="5377" width="7.53515625" style="10" bestFit="1" customWidth="1"/>
    <col min="5378" max="5378" width="6.84375" style="10" bestFit="1" customWidth="1"/>
    <col min="5379" max="5379" width="13.4609375" style="10" bestFit="1" customWidth="1"/>
    <col min="5380" max="5380" width="5.84375" style="10" bestFit="1" customWidth="1"/>
    <col min="5381" max="5381" width="5.84375" style="10" customWidth="1"/>
    <col min="5382" max="5388" width="5.84375" style="10" bestFit="1" customWidth="1"/>
    <col min="5389" max="5389" width="5.84375" style="10" customWidth="1"/>
    <col min="5390" max="5397" width="6.53515625" style="10" bestFit="1" customWidth="1"/>
    <col min="5398" max="5398" width="11.84375" style="10" bestFit="1" customWidth="1"/>
    <col min="5399" max="5399" width="8.84375" style="10" bestFit="1" customWidth="1"/>
    <col min="5400" max="5401" width="2.07421875" style="10" customWidth="1"/>
    <col min="5402" max="5402" width="31.4609375" style="10" bestFit="1" customWidth="1"/>
    <col min="5403" max="5403" width="6.07421875" style="10" bestFit="1" customWidth="1"/>
    <col min="5404" max="5405" width="9.07421875" style="10"/>
    <col min="5406" max="5406" width="26.4609375" style="10" bestFit="1" customWidth="1"/>
    <col min="5407" max="5632" width="9.07421875" style="10"/>
    <col min="5633" max="5633" width="7.53515625" style="10" bestFit="1" customWidth="1"/>
    <col min="5634" max="5634" width="6.84375" style="10" bestFit="1" customWidth="1"/>
    <col min="5635" max="5635" width="13.4609375" style="10" bestFit="1" customWidth="1"/>
    <col min="5636" max="5636" width="5.84375" style="10" bestFit="1" customWidth="1"/>
    <col min="5637" max="5637" width="5.84375" style="10" customWidth="1"/>
    <col min="5638" max="5644" width="5.84375" style="10" bestFit="1" customWidth="1"/>
    <col min="5645" max="5645" width="5.84375" style="10" customWidth="1"/>
    <col min="5646" max="5653" width="6.53515625" style="10" bestFit="1" customWidth="1"/>
    <col min="5654" max="5654" width="11.84375" style="10" bestFit="1" customWidth="1"/>
    <col min="5655" max="5655" width="8.84375" style="10" bestFit="1" customWidth="1"/>
    <col min="5656" max="5657" width="2.07421875" style="10" customWidth="1"/>
    <col min="5658" max="5658" width="31.4609375" style="10" bestFit="1" customWidth="1"/>
    <col min="5659" max="5659" width="6.07421875" style="10" bestFit="1" customWidth="1"/>
    <col min="5660" max="5661" width="9.07421875" style="10"/>
    <col min="5662" max="5662" width="26.4609375" style="10" bestFit="1" customWidth="1"/>
    <col min="5663" max="5888" width="9.07421875" style="10"/>
    <col min="5889" max="5889" width="7.53515625" style="10" bestFit="1" customWidth="1"/>
    <col min="5890" max="5890" width="6.84375" style="10" bestFit="1" customWidth="1"/>
    <col min="5891" max="5891" width="13.4609375" style="10" bestFit="1" customWidth="1"/>
    <col min="5892" max="5892" width="5.84375" style="10" bestFit="1" customWidth="1"/>
    <col min="5893" max="5893" width="5.84375" style="10" customWidth="1"/>
    <col min="5894" max="5900" width="5.84375" style="10" bestFit="1" customWidth="1"/>
    <col min="5901" max="5901" width="5.84375" style="10" customWidth="1"/>
    <col min="5902" max="5909" width="6.53515625" style="10" bestFit="1" customWidth="1"/>
    <col min="5910" max="5910" width="11.84375" style="10" bestFit="1" customWidth="1"/>
    <col min="5911" max="5911" width="8.84375" style="10" bestFit="1" customWidth="1"/>
    <col min="5912" max="5913" width="2.07421875" style="10" customWidth="1"/>
    <col min="5914" max="5914" width="31.4609375" style="10" bestFit="1" customWidth="1"/>
    <col min="5915" max="5915" width="6.07421875" style="10" bestFit="1" customWidth="1"/>
    <col min="5916" max="5917" width="9.07421875" style="10"/>
    <col min="5918" max="5918" width="26.4609375" style="10" bestFit="1" customWidth="1"/>
    <col min="5919" max="6144" width="9.07421875" style="10"/>
    <col min="6145" max="6145" width="7.53515625" style="10" bestFit="1" customWidth="1"/>
    <col min="6146" max="6146" width="6.84375" style="10" bestFit="1" customWidth="1"/>
    <col min="6147" max="6147" width="13.4609375" style="10" bestFit="1" customWidth="1"/>
    <col min="6148" max="6148" width="5.84375" style="10" bestFit="1" customWidth="1"/>
    <col min="6149" max="6149" width="5.84375" style="10" customWidth="1"/>
    <col min="6150" max="6156" width="5.84375" style="10" bestFit="1" customWidth="1"/>
    <col min="6157" max="6157" width="5.84375" style="10" customWidth="1"/>
    <col min="6158" max="6165" width="6.53515625" style="10" bestFit="1" customWidth="1"/>
    <col min="6166" max="6166" width="11.84375" style="10" bestFit="1" customWidth="1"/>
    <col min="6167" max="6167" width="8.84375" style="10" bestFit="1" customWidth="1"/>
    <col min="6168" max="6169" width="2.07421875" style="10" customWidth="1"/>
    <col min="6170" max="6170" width="31.4609375" style="10" bestFit="1" customWidth="1"/>
    <col min="6171" max="6171" width="6.07421875" style="10" bestFit="1" customWidth="1"/>
    <col min="6172" max="6173" width="9.07421875" style="10"/>
    <col min="6174" max="6174" width="26.4609375" style="10" bestFit="1" customWidth="1"/>
    <col min="6175" max="6400" width="9.07421875" style="10"/>
    <col min="6401" max="6401" width="7.53515625" style="10" bestFit="1" customWidth="1"/>
    <col min="6402" max="6402" width="6.84375" style="10" bestFit="1" customWidth="1"/>
    <col min="6403" max="6403" width="13.4609375" style="10" bestFit="1" customWidth="1"/>
    <col min="6404" max="6404" width="5.84375" style="10" bestFit="1" customWidth="1"/>
    <col min="6405" max="6405" width="5.84375" style="10" customWidth="1"/>
    <col min="6406" max="6412" width="5.84375" style="10" bestFit="1" customWidth="1"/>
    <col min="6413" max="6413" width="5.84375" style="10" customWidth="1"/>
    <col min="6414" max="6421" width="6.53515625" style="10" bestFit="1" customWidth="1"/>
    <col min="6422" max="6422" width="11.84375" style="10" bestFit="1" customWidth="1"/>
    <col min="6423" max="6423" width="8.84375" style="10" bestFit="1" customWidth="1"/>
    <col min="6424" max="6425" width="2.07421875" style="10" customWidth="1"/>
    <col min="6426" max="6426" width="31.4609375" style="10" bestFit="1" customWidth="1"/>
    <col min="6427" max="6427" width="6.07421875" style="10" bestFit="1" customWidth="1"/>
    <col min="6428" max="6429" width="9.07421875" style="10"/>
    <col min="6430" max="6430" width="26.4609375" style="10" bestFit="1" customWidth="1"/>
    <col min="6431" max="6656" width="9.07421875" style="10"/>
    <col min="6657" max="6657" width="7.53515625" style="10" bestFit="1" customWidth="1"/>
    <col min="6658" max="6658" width="6.84375" style="10" bestFit="1" customWidth="1"/>
    <col min="6659" max="6659" width="13.4609375" style="10" bestFit="1" customWidth="1"/>
    <col min="6660" max="6660" width="5.84375" style="10" bestFit="1" customWidth="1"/>
    <col min="6661" max="6661" width="5.84375" style="10" customWidth="1"/>
    <col min="6662" max="6668" width="5.84375" style="10" bestFit="1" customWidth="1"/>
    <col min="6669" max="6669" width="5.84375" style="10" customWidth="1"/>
    <col min="6670" max="6677" width="6.53515625" style="10" bestFit="1" customWidth="1"/>
    <col min="6678" max="6678" width="11.84375" style="10" bestFit="1" customWidth="1"/>
    <col min="6679" max="6679" width="8.84375" style="10" bestFit="1" customWidth="1"/>
    <col min="6680" max="6681" width="2.07421875" style="10" customWidth="1"/>
    <col min="6682" max="6682" width="31.4609375" style="10" bestFit="1" customWidth="1"/>
    <col min="6683" max="6683" width="6.07421875" style="10" bestFit="1" customWidth="1"/>
    <col min="6684" max="6685" width="9.07421875" style="10"/>
    <col min="6686" max="6686" width="26.4609375" style="10" bestFit="1" customWidth="1"/>
    <col min="6687" max="6912" width="9.07421875" style="10"/>
    <col min="6913" max="6913" width="7.53515625" style="10" bestFit="1" customWidth="1"/>
    <col min="6914" max="6914" width="6.84375" style="10" bestFit="1" customWidth="1"/>
    <col min="6915" max="6915" width="13.4609375" style="10" bestFit="1" customWidth="1"/>
    <col min="6916" max="6916" width="5.84375" style="10" bestFit="1" customWidth="1"/>
    <col min="6917" max="6917" width="5.84375" style="10" customWidth="1"/>
    <col min="6918" max="6924" width="5.84375" style="10" bestFit="1" customWidth="1"/>
    <col min="6925" max="6925" width="5.84375" style="10" customWidth="1"/>
    <col min="6926" max="6933" width="6.53515625" style="10" bestFit="1" customWidth="1"/>
    <col min="6934" max="6934" width="11.84375" style="10" bestFit="1" customWidth="1"/>
    <col min="6935" max="6935" width="8.84375" style="10" bestFit="1" customWidth="1"/>
    <col min="6936" max="6937" width="2.07421875" style="10" customWidth="1"/>
    <col min="6938" max="6938" width="31.4609375" style="10" bestFit="1" customWidth="1"/>
    <col min="6939" max="6939" width="6.07421875" style="10" bestFit="1" customWidth="1"/>
    <col min="6940" max="6941" width="9.07421875" style="10"/>
    <col min="6942" max="6942" width="26.4609375" style="10" bestFit="1" customWidth="1"/>
    <col min="6943" max="7168" width="9.07421875" style="10"/>
    <col min="7169" max="7169" width="7.53515625" style="10" bestFit="1" customWidth="1"/>
    <col min="7170" max="7170" width="6.84375" style="10" bestFit="1" customWidth="1"/>
    <col min="7171" max="7171" width="13.4609375" style="10" bestFit="1" customWidth="1"/>
    <col min="7172" max="7172" width="5.84375" style="10" bestFit="1" customWidth="1"/>
    <col min="7173" max="7173" width="5.84375" style="10" customWidth="1"/>
    <col min="7174" max="7180" width="5.84375" style="10" bestFit="1" customWidth="1"/>
    <col min="7181" max="7181" width="5.84375" style="10" customWidth="1"/>
    <col min="7182" max="7189" width="6.53515625" style="10" bestFit="1" customWidth="1"/>
    <col min="7190" max="7190" width="11.84375" style="10" bestFit="1" customWidth="1"/>
    <col min="7191" max="7191" width="8.84375" style="10" bestFit="1" customWidth="1"/>
    <col min="7192" max="7193" width="2.07421875" style="10" customWidth="1"/>
    <col min="7194" max="7194" width="31.4609375" style="10" bestFit="1" customWidth="1"/>
    <col min="7195" max="7195" width="6.07421875" style="10" bestFit="1" customWidth="1"/>
    <col min="7196" max="7197" width="9.07421875" style="10"/>
    <col min="7198" max="7198" width="26.4609375" style="10" bestFit="1" customWidth="1"/>
    <col min="7199" max="7424" width="9.07421875" style="10"/>
    <col min="7425" max="7425" width="7.53515625" style="10" bestFit="1" customWidth="1"/>
    <col min="7426" max="7426" width="6.84375" style="10" bestFit="1" customWidth="1"/>
    <col min="7427" max="7427" width="13.4609375" style="10" bestFit="1" customWidth="1"/>
    <col min="7428" max="7428" width="5.84375" style="10" bestFit="1" customWidth="1"/>
    <col min="7429" max="7429" width="5.84375" style="10" customWidth="1"/>
    <col min="7430" max="7436" width="5.84375" style="10" bestFit="1" customWidth="1"/>
    <col min="7437" max="7437" width="5.84375" style="10" customWidth="1"/>
    <col min="7438" max="7445" width="6.53515625" style="10" bestFit="1" customWidth="1"/>
    <col min="7446" max="7446" width="11.84375" style="10" bestFit="1" customWidth="1"/>
    <col min="7447" max="7447" width="8.84375" style="10" bestFit="1" customWidth="1"/>
    <col min="7448" max="7449" width="2.07421875" style="10" customWidth="1"/>
    <col min="7450" max="7450" width="31.4609375" style="10" bestFit="1" customWidth="1"/>
    <col min="7451" max="7451" width="6.07421875" style="10" bestFit="1" customWidth="1"/>
    <col min="7452" max="7453" width="9.07421875" style="10"/>
    <col min="7454" max="7454" width="26.4609375" style="10" bestFit="1" customWidth="1"/>
    <col min="7455" max="7680" width="9.07421875" style="10"/>
    <col min="7681" max="7681" width="7.53515625" style="10" bestFit="1" customWidth="1"/>
    <col min="7682" max="7682" width="6.84375" style="10" bestFit="1" customWidth="1"/>
    <col min="7683" max="7683" width="13.4609375" style="10" bestFit="1" customWidth="1"/>
    <col min="7684" max="7684" width="5.84375" style="10" bestFit="1" customWidth="1"/>
    <col min="7685" max="7685" width="5.84375" style="10" customWidth="1"/>
    <col min="7686" max="7692" width="5.84375" style="10" bestFit="1" customWidth="1"/>
    <col min="7693" max="7693" width="5.84375" style="10" customWidth="1"/>
    <col min="7694" max="7701" width="6.53515625" style="10" bestFit="1" customWidth="1"/>
    <col min="7702" max="7702" width="11.84375" style="10" bestFit="1" customWidth="1"/>
    <col min="7703" max="7703" width="8.84375" style="10" bestFit="1" customWidth="1"/>
    <col min="7704" max="7705" width="2.07421875" style="10" customWidth="1"/>
    <col min="7706" max="7706" width="31.4609375" style="10" bestFit="1" customWidth="1"/>
    <col min="7707" max="7707" width="6.07421875" style="10" bestFit="1" customWidth="1"/>
    <col min="7708" max="7709" width="9.07421875" style="10"/>
    <col min="7710" max="7710" width="26.4609375" style="10" bestFit="1" customWidth="1"/>
    <col min="7711" max="7936" width="9.07421875" style="10"/>
    <col min="7937" max="7937" width="7.53515625" style="10" bestFit="1" customWidth="1"/>
    <col min="7938" max="7938" width="6.84375" style="10" bestFit="1" customWidth="1"/>
    <col min="7939" max="7939" width="13.4609375" style="10" bestFit="1" customWidth="1"/>
    <col min="7940" max="7940" width="5.84375" style="10" bestFit="1" customWidth="1"/>
    <col min="7941" max="7941" width="5.84375" style="10" customWidth="1"/>
    <col min="7942" max="7948" width="5.84375" style="10" bestFit="1" customWidth="1"/>
    <col min="7949" max="7949" width="5.84375" style="10" customWidth="1"/>
    <col min="7950" max="7957" width="6.53515625" style="10" bestFit="1" customWidth="1"/>
    <col min="7958" max="7958" width="11.84375" style="10" bestFit="1" customWidth="1"/>
    <col min="7959" max="7959" width="8.84375" style="10" bestFit="1" customWidth="1"/>
    <col min="7960" max="7961" width="2.07421875" style="10" customWidth="1"/>
    <col min="7962" max="7962" width="31.4609375" style="10" bestFit="1" customWidth="1"/>
    <col min="7963" max="7963" width="6.07421875" style="10" bestFit="1" customWidth="1"/>
    <col min="7964" max="7965" width="9.07421875" style="10"/>
    <col min="7966" max="7966" width="26.4609375" style="10" bestFit="1" customWidth="1"/>
    <col min="7967" max="8192" width="9.07421875" style="10"/>
    <col min="8193" max="8193" width="7.53515625" style="10" bestFit="1" customWidth="1"/>
    <col min="8194" max="8194" width="6.84375" style="10" bestFit="1" customWidth="1"/>
    <col min="8195" max="8195" width="13.4609375" style="10" bestFit="1" customWidth="1"/>
    <col min="8196" max="8196" width="5.84375" style="10" bestFit="1" customWidth="1"/>
    <col min="8197" max="8197" width="5.84375" style="10" customWidth="1"/>
    <col min="8198" max="8204" width="5.84375" style="10" bestFit="1" customWidth="1"/>
    <col min="8205" max="8205" width="5.84375" style="10" customWidth="1"/>
    <col min="8206" max="8213" width="6.53515625" style="10" bestFit="1" customWidth="1"/>
    <col min="8214" max="8214" width="11.84375" style="10" bestFit="1" customWidth="1"/>
    <col min="8215" max="8215" width="8.84375" style="10" bestFit="1" customWidth="1"/>
    <col min="8216" max="8217" width="2.07421875" style="10" customWidth="1"/>
    <col min="8218" max="8218" width="31.4609375" style="10" bestFit="1" customWidth="1"/>
    <col min="8219" max="8219" width="6.07421875" style="10" bestFit="1" customWidth="1"/>
    <col min="8220" max="8221" width="9.07421875" style="10"/>
    <col min="8222" max="8222" width="26.4609375" style="10" bestFit="1" customWidth="1"/>
    <col min="8223" max="8448" width="9.07421875" style="10"/>
    <col min="8449" max="8449" width="7.53515625" style="10" bestFit="1" customWidth="1"/>
    <col min="8450" max="8450" width="6.84375" style="10" bestFit="1" customWidth="1"/>
    <col min="8451" max="8451" width="13.4609375" style="10" bestFit="1" customWidth="1"/>
    <col min="8452" max="8452" width="5.84375" style="10" bestFit="1" customWidth="1"/>
    <col min="8453" max="8453" width="5.84375" style="10" customWidth="1"/>
    <col min="8454" max="8460" width="5.84375" style="10" bestFit="1" customWidth="1"/>
    <col min="8461" max="8461" width="5.84375" style="10" customWidth="1"/>
    <col min="8462" max="8469" width="6.53515625" style="10" bestFit="1" customWidth="1"/>
    <col min="8470" max="8470" width="11.84375" style="10" bestFit="1" customWidth="1"/>
    <col min="8471" max="8471" width="8.84375" style="10" bestFit="1" customWidth="1"/>
    <col min="8472" max="8473" width="2.07421875" style="10" customWidth="1"/>
    <col min="8474" max="8474" width="31.4609375" style="10" bestFit="1" customWidth="1"/>
    <col min="8475" max="8475" width="6.07421875" style="10" bestFit="1" customWidth="1"/>
    <col min="8476" max="8477" width="9.07421875" style="10"/>
    <col min="8478" max="8478" width="26.4609375" style="10" bestFit="1" customWidth="1"/>
    <col min="8479" max="8704" width="9.07421875" style="10"/>
    <col min="8705" max="8705" width="7.53515625" style="10" bestFit="1" customWidth="1"/>
    <col min="8706" max="8706" width="6.84375" style="10" bestFit="1" customWidth="1"/>
    <col min="8707" max="8707" width="13.4609375" style="10" bestFit="1" customWidth="1"/>
    <col min="8708" max="8708" width="5.84375" style="10" bestFit="1" customWidth="1"/>
    <col min="8709" max="8709" width="5.84375" style="10" customWidth="1"/>
    <col min="8710" max="8716" width="5.84375" style="10" bestFit="1" customWidth="1"/>
    <col min="8717" max="8717" width="5.84375" style="10" customWidth="1"/>
    <col min="8718" max="8725" width="6.53515625" style="10" bestFit="1" customWidth="1"/>
    <col min="8726" max="8726" width="11.84375" style="10" bestFit="1" customWidth="1"/>
    <col min="8727" max="8727" width="8.84375" style="10" bestFit="1" customWidth="1"/>
    <col min="8728" max="8729" width="2.07421875" style="10" customWidth="1"/>
    <col min="8730" max="8730" width="31.4609375" style="10" bestFit="1" customWidth="1"/>
    <col min="8731" max="8731" width="6.07421875" style="10" bestFit="1" customWidth="1"/>
    <col min="8732" max="8733" width="9.07421875" style="10"/>
    <col min="8734" max="8734" width="26.4609375" style="10" bestFit="1" customWidth="1"/>
    <col min="8735" max="8960" width="9.07421875" style="10"/>
    <col min="8961" max="8961" width="7.53515625" style="10" bestFit="1" customWidth="1"/>
    <col min="8962" max="8962" width="6.84375" style="10" bestFit="1" customWidth="1"/>
    <col min="8963" max="8963" width="13.4609375" style="10" bestFit="1" customWidth="1"/>
    <col min="8964" max="8964" width="5.84375" style="10" bestFit="1" customWidth="1"/>
    <col min="8965" max="8965" width="5.84375" style="10" customWidth="1"/>
    <col min="8966" max="8972" width="5.84375" style="10" bestFit="1" customWidth="1"/>
    <col min="8973" max="8973" width="5.84375" style="10" customWidth="1"/>
    <col min="8974" max="8981" width="6.53515625" style="10" bestFit="1" customWidth="1"/>
    <col min="8982" max="8982" width="11.84375" style="10" bestFit="1" customWidth="1"/>
    <col min="8983" max="8983" width="8.84375" style="10" bestFit="1" customWidth="1"/>
    <col min="8984" max="8985" width="2.07421875" style="10" customWidth="1"/>
    <col min="8986" max="8986" width="31.4609375" style="10" bestFit="1" customWidth="1"/>
    <col min="8987" max="8987" width="6.07421875" style="10" bestFit="1" customWidth="1"/>
    <col min="8988" max="8989" width="9.07421875" style="10"/>
    <col min="8990" max="8990" width="26.4609375" style="10" bestFit="1" customWidth="1"/>
    <col min="8991" max="9216" width="9.07421875" style="10"/>
    <col min="9217" max="9217" width="7.53515625" style="10" bestFit="1" customWidth="1"/>
    <col min="9218" max="9218" width="6.84375" style="10" bestFit="1" customWidth="1"/>
    <col min="9219" max="9219" width="13.4609375" style="10" bestFit="1" customWidth="1"/>
    <col min="9220" max="9220" width="5.84375" style="10" bestFit="1" customWidth="1"/>
    <col min="9221" max="9221" width="5.84375" style="10" customWidth="1"/>
    <col min="9222" max="9228" width="5.84375" style="10" bestFit="1" customWidth="1"/>
    <col min="9229" max="9229" width="5.84375" style="10" customWidth="1"/>
    <col min="9230" max="9237" width="6.53515625" style="10" bestFit="1" customWidth="1"/>
    <col min="9238" max="9238" width="11.84375" style="10" bestFit="1" customWidth="1"/>
    <col min="9239" max="9239" width="8.84375" style="10" bestFit="1" customWidth="1"/>
    <col min="9240" max="9241" width="2.07421875" style="10" customWidth="1"/>
    <col min="9242" max="9242" width="31.4609375" style="10" bestFit="1" customWidth="1"/>
    <col min="9243" max="9243" width="6.07421875" style="10" bestFit="1" customWidth="1"/>
    <col min="9244" max="9245" width="9.07421875" style="10"/>
    <col min="9246" max="9246" width="26.4609375" style="10" bestFit="1" customWidth="1"/>
    <col min="9247" max="9472" width="9.07421875" style="10"/>
    <col min="9473" max="9473" width="7.53515625" style="10" bestFit="1" customWidth="1"/>
    <col min="9474" max="9474" width="6.84375" style="10" bestFit="1" customWidth="1"/>
    <col min="9475" max="9475" width="13.4609375" style="10" bestFit="1" customWidth="1"/>
    <col min="9476" max="9476" width="5.84375" style="10" bestFit="1" customWidth="1"/>
    <col min="9477" max="9477" width="5.84375" style="10" customWidth="1"/>
    <col min="9478" max="9484" width="5.84375" style="10" bestFit="1" customWidth="1"/>
    <col min="9485" max="9485" width="5.84375" style="10" customWidth="1"/>
    <col min="9486" max="9493" width="6.53515625" style="10" bestFit="1" customWidth="1"/>
    <col min="9494" max="9494" width="11.84375" style="10" bestFit="1" customWidth="1"/>
    <col min="9495" max="9495" width="8.84375" style="10" bestFit="1" customWidth="1"/>
    <col min="9496" max="9497" width="2.07421875" style="10" customWidth="1"/>
    <col min="9498" max="9498" width="31.4609375" style="10" bestFit="1" customWidth="1"/>
    <col min="9499" max="9499" width="6.07421875" style="10" bestFit="1" customWidth="1"/>
    <col min="9500" max="9501" width="9.07421875" style="10"/>
    <col min="9502" max="9502" width="26.4609375" style="10" bestFit="1" customWidth="1"/>
    <col min="9503" max="9728" width="9.07421875" style="10"/>
    <col min="9729" max="9729" width="7.53515625" style="10" bestFit="1" customWidth="1"/>
    <col min="9730" max="9730" width="6.84375" style="10" bestFit="1" customWidth="1"/>
    <col min="9731" max="9731" width="13.4609375" style="10" bestFit="1" customWidth="1"/>
    <col min="9732" max="9732" width="5.84375" style="10" bestFit="1" customWidth="1"/>
    <col min="9733" max="9733" width="5.84375" style="10" customWidth="1"/>
    <col min="9734" max="9740" width="5.84375" style="10" bestFit="1" customWidth="1"/>
    <col min="9741" max="9741" width="5.84375" style="10" customWidth="1"/>
    <col min="9742" max="9749" width="6.53515625" style="10" bestFit="1" customWidth="1"/>
    <col min="9750" max="9750" width="11.84375" style="10" bestFit="1" customWidth="1"/>
    <col min="9751" max="9751" width="8.84375" style="10" bestFit="1" customWidth="1"/>
    <col min="9752" max="9753" width="2.07421875" style="10" customWidth="1"/>
    <col min="9754" max="9754" width="31.4609375" style="10" bestFit="1" customWidth="1"/>
    <col min="9755" max="9755" width="6.07421875" style="10" bestFit="1" customWidth="1"/>
    <col min="9756" max="9757" width="9.07421875" style="10"/>
    <col min="9758" max="9758" width="26.4609375" style="10" bestFit="1" customWidth="1"/>
    <col min="9759" max="9984" width="9.07421875" style="10"/>
    <col min="9985" max="9985" width="7.53515625" style="10" bestFit="1" customWidth="1"/>
    <col min="9986" max="9986" width="6.84375" style="10" bestFit="1" customWidth="1"/>
    <col min="9987" max="9987" width="13.4609375" style="10" bestFit="1" customWidth="1"/>
    <col min="9988" max="9988" width="5.84375" style="10" bestFit="1" customWidth="1"/>
    <col min="9989" max="9989" width="5.84375" style="10" customWidth="1"/>
    <col min="9990" max="9996" width="5.84375" style="10" bestFit="1" customWidth="1"/>
    <col min="9997" max="9997" width="5.84375" style="10" customWidth="1"/>
    <col min="9998" max="10005" width="6.53515625" style="10" bestFit="1" customWidth="1"/>
    <col min="10006" max="10006" width="11.84375" style="10" bestFit="1" customWidth="1"/>
    <col min="10007" max="10007" width="8.84375" style="10" bestFit="1" customWidth="1"/>
    <col min="10008" max="10009" width="2.07421875" style="10" customWidth="1"/>
    <col min="10010" max="10010" width="31.4609375" style="10" bestFit="1" customWidth="1"/>
    <col min="10011" max="10011" width="6.07421875" style="10" bestFit="1" customWidth="1"/>
    <col min="10012" max="10013" width="9.07421875" style="10"/>
    <col min="10014" max="10014" width="26.4609375" style="10" bestFit="1" customWidth="1"/>
    <col min="10015" max="10240" width="9.07421875" style="10"/>
    <col min="10241" max="10241" width="7.53515625" style="10" bestFit="1" customWidth="1"/>
    <col min="10242" max="10242" width="6.84375" style="10" bestFit="1" customWidth="1"/>
    <col min="10243" max="10243" width="13.4609375" style="10" bestFit="1" customWidth="1"/>
    <col min="10244" max="10244" width="5.84375" style="10" bestFit="1" customWidth="1"/>
    <col min="10245" max="10245" width="5.84375" style="10" customWidth="1"/>
    <col min="10246" max="10252" width="5.84375" style="10" bestFit="1" customWidth="1"/>
    <col min="10253" max="10253" width="5.84375" style="10" customWidth="1"/>
    <col min="10254" max="10261" width="6.53515625" style="10" bestFit="1" customWidth="1"/>
    <col min="10262" max="10262" width="11.84375" style="10" bestFit="1" customWidth="1"/>
    <col min="10263" max="10263" width="8.84375" style="10" bestFit="1" customWidth="1"/>
    <col min="10264" max="10265" width="2.07421875" style="10" customWidth="1"/>
    <col min="10266" max="10266" width="31.4609375" style="10" bestFit="1" customWidth="1"/>
    <col min="10267" max="10267" width="6.07421875" style="10" bestFit="1" customWidth="1"/>
    <col min="10268" max="10269" width="9.07421875" style="10"/>
    <col min="10270" max="10270" width="26.4609375" style="10" bestFit="1" customWidth="1"/>
    <col min="10271" max="10496" width="9.07421875" style="10"/>
    <col min="10497" max="10497" width="7.53515625" style="10" bestFit="1" customWidth="1"/>
    <col min="10498" max="10498" width="6.84375" style="10" bestFit="1" customWidth="1"/>
    <col min="10499" max="10499" width="13.4609375" style="10" bestFit="1" customWidth="1"/>
    <col min="10500" max="10500" width="5.84375" style="10" bestFit="1" customWidth="1"/>
    <col min="10501" max="10501" width="5.84375" style="10" customWidth="1"/>
    <col min="10502" max="10508" width="5.84375" style="10" bestFit="1" customWidth="1"/>
    <col min="10509" max="10509" width="5.84375" style="10" customWidth="1"/>
    <col min="10510" max="10517" width="6.53515625" style="10" bestFit="1" customWidth="1"/>
    <col min="10518" max="10518" width="11.84375" style="10" bestFit="1" customWidth="1"/>
    <col min="10519" max="10519" width="8.84375" style="10" bestFit="1" customWidth="1"/>
    <col min="10520" max="10521" width="2.07421875" style="10" customWidth="1"/>
    <col min="10522" max="10522" width="31.4609375" style="10" bestFit="1" customWidth="1"/>
    <col min="10523" max="10523" width="6.07421875" style="10" bestFit="1" customWidth="1"/>
    <col min="10524" max="10525" width="9.07421875" style="10"/>
    <col min="10526" max="10526" width="26.4609375" style="10" bestFit="1" customWidth="1"/>
    <col min="10527" max="10752" width="9.07421875" style="10"/>
    <col min="10753" max="10753" width="7.53515625" style="10" bestFit="1" customWidth="1"/>
    <col min="10754" max="10754" width="6.84375" style="10" bestFit="1" customWidth="1"/>
    <col min="10755" max="10755" width="13.4609375" style="10" bestFit="1" customWidth="1"/>
    <col min="10756" max="10756" width="5.84375" style="10" bestFit="1" customWidth="1"/>
    <col min="10757" max="10757" width="5.84375" style="10" customWidth="1"/>
    <col min="10758" max="10764" width="5.84375" style="10" bestFit="1" customWidth="1"/>
    <col min="10765" max="10765" width="5.84375" style="10" customWidth="1"/>
    <col min="10766" max="10773" width="6.53515625" style="10" bestFit="1" customWidth="1"/>
    <col min="10774" max="10774" width="11.84375" style="10" bestFit="1" customWidth="1"/>
    <col min="10775" max="10775" width="8.84375" style="10" bestFit="1" customWidth="1"/>
    <col min="10776" max="10777" width="2.07421875" style="10" customWidth="1"/>
    <col min="10778" max="10778" width="31.4609375" style="10" bestFit="1" customWidth="1"/>
    <col min="10779" max="10779" width="6.07421875" style="10" bestFit="1" customWidth="1"/>
    <col min="10780" max="10781" width="9.07421875" style="10"/>
    <col min="10782" max="10782" width="26.4609375" style="10" bestFit="1" customWidth="1"/>
    <col min="10783" max="11008" width="9.07421875" style="10"/>
    <col min="11009" max="11009" width="7.53515625" style="10" bestFit="1" customWidth="1"/>
    <col min="11010" max="11010" width="6.84375" style="10" bestFit="1" customWidth="1"/>
    <col min="11011" max="11011" width="13.4609375" style="10" bestFit="1" customWidth="1"/>
    <col min="11012" max="11012" width="5.84375" style="10" bestFit="1" customWidth="1"/>
    <col min="11013" max="11013" width="5.84375" style="10" customWidth="1"/>
    <col min="11014" max="11020" width="5.84375" style="10" bestFit="1" customWidth="1"/>
    <col min="11021" max="11021" width="5.84375" style="10" customWidth="1"/>
    <col min="11022" max="11029" width="6.53515625" style="10" bestFit="1" customWidth="1"/>
    <col min="11030" max="11030" width="11.84375" style="10" bestFit="1" customWidth="1"/>
    <col min="11031" max="11031" width="8.84375" style="10" bestFit="1" customWidth="1"/>
    <col min="11032" max="11033" width="2.07421875" style="10" customWidth="1"/>
    <col min="11034" max="11034" width="31.4609375" style="10" bestFit="1" customWidth="1"/>
    <col min="11035" max="11035" width="6.07421875" style="10" bestFit="1" customWidth="1"/>
    <col min="11036" max="11037" width="9.07421875" style="10"/>
    <col min="11038" max="11038" width="26.4609375" style="10" bestFit="1" customWidth="1"/>
    <col min="11039" max="11264" width="9.07421875" style="10"/>
    <col min="11265" max="11265" width="7.53515625" style="10" bestFit="1" customWidth="1"/>
    <col min="11266" max="11266" width="6.84375" style="10" bestFit="1" customWidth="1"/>
    <col min="11267" max="11267" width="13.4609375" style="10" bestFit="1" customWidth="1"/>
    <col min="11268" max="11268" width="5.84375" style="10" bestFit="1" customWidth="1"/>
    <col min="11269" max="11269" width="5.84375" style="10" customWidth="1"/>
    <col min="11270" max="11276" width="5.84375" style="10" bestFit="1" customWidth="1"/>
    <col min="11277" max="11277" width="5.84375" style="10" customWidth="1"/>
    <col min="11278" max="11285" width="6.53515625" style="10" bestFit="1" customWidth="1"/>
    <col min="11286" max="11286" width="11.84375" style="10" bestFit="1" customWidth="1"/>
    <col min="11287" max="11287" width="8.84375" style="10" bestFit="1" customWidth="1"/>
    <col min="11288" max="11289" width="2.07421875" style="10" customWidth="1"/>
    <col min="11290" max="11290" width="31.4609375" style="10" bestFit="1" customWidth="1"/>
    <col min="11291" max="11291" width="6.07421875" style="10" bestFit="1" customWidth="1"/>
    <col min="11292" max="11293" width="9.07421875" style="10"/>
    <col min="11294" max="11294" width="26.4609375" style="10" bestFit="1" customWidth="1"/>
    <col min="11295" max="11520" width="9.07421875" style="10"/>
    <col min="11521" max="11521" width="7.53515625" style="10" bestFit="1" customWidth="1"/>
    <col min="11522" max="11522" width="6.84375" style="10" bestFit="1" customWidth="1"/>
    <col min="11523" max="11523" width="13.4609375" style="10" bestFit="1" customWidth="1"/>
    <col min="11524" max="11524" width="5.84375" style="10" bestFit="1" customWidth="1"/>
    <col min="11525" max="11525" width="5.84375" style="10" customWidth="1"/>
    <col min="11526" max="11532" width="5.84375" style="10" bestFit="1" customWidth="1"/>
    <col min="11533" max="11533" width="5.84375" style="10" customWidth="1"/>
    <col min="11534" max="11541" width="6.53515625" style="10" bestFit="1" customWidth="1"/>
    <col min="11542" max="11542" width="11.84375" style="10" bestFit="1" customWidth="1"/>
    <col min="11543" max="11543" width="8.84375" style="10" bestFit="1" customWidth="1"/>
    <col min="11544" max="11545" width="2.07421875" style="10" customWidth="1"/>
    <col min="11546" max="11546" width="31.4609375" style="10" bestFit="1" customWidth="1"/>
    <col min="11547" max="11547" width="6.07421875" style="10" bestFit="1" customWidth="1"/>
    <col min="11548" max="11549" width="9.07421875" style="10"/>
    <col min="11550" max="11550" width="26.4609375" style="10" bestFit="1" customWidth="1"/>
    <col min="11551" max="11776" width="9.07421875" style="10"/>
    <col min="11777" max="11777" width="7.53515625" style="10" bestFit="1" customWidth="1"/>
    <col min="11778" max="11778" width="6.84375" style="10" bestFit="1" customWidth="1"/>
    <col min="11779" max="11779" width="13.4609375" style="10" bestFit="1" customWidth="1"/>
    <col min="11780" max="11780" width="5.84375" style="10" bestFit="1" customWidth="1"/>
    <col min="11781" max="11781" width="5.84375" style="10" customWidth="1"/>
    <col min="11782" max="11788" width="5.84375" style="10" bestFit="1" customWidth="1"/>
    <col min="11789" max="11789" width="5.84375" style="10" customWidth="1"/>
    <col min="11790" max="11797" width="6.53515625" style="10" bestFit="1" customWidth="1"/>
    <col min="11798" max="11798" width="11.84375" style="10" bestFit="1" customWidth="1"/>
    <col min="11799" max="11799" width="8.84375" style="10" bestFit="1" customWidth="1"/>
    <col min="11800" max="11801" width="2.07421875" style="10" customWidth="1"/>
    <col min="11802" max="11802" width="31.4609375" style="10" bestFit="1" customWidth="1"/>
    <col min="11803" max="11803" width="6.07421875" style="10" bestFit="1" customWidth="1"/>
    <col min="11804" max="11805" width="9.07421875" style="10"/>
    <col min="11806" max="11806" width="26.4609375" style="10" bestFit="1" customWidth="1"/>
    <col min="11807" max="12032" width="9.07421875" style="10"/>
    <col min="12033" max="12033" width="7.53515625" style="10" bestFit="1" customWidth="1"/>
    <col min="12034" max="12034" width="6.84375" style="10" bestFit="1" customWidth="1"/>
    <col min="12035" max="12035" width="13.4609375" style="10" bestFit="1" customWidth="1"/>
    <col min="12036" max="12036" width="5.84375" style="10" bestFit="1" customWidth="1"/>
    <col min="12037" max="12037" width="5.84375" style="10" customWidth="1"/>
    <col min="12038" max="12044" width="5.84375" style="10" bestFit="1" customWidth="1"/>
    <col min="12045" max="12045" width="5.84375" style="10" customWidth="1"/>
    <col min="12046" max="12053" width="6.53515625" style="10" bestFit="1" customWidth="1"/>
    <col min="12054" max="12054" width="11.84375" style="10" bestFit="1" customWidth="1"/>
    <col min="12055" max="12055" width="8.84375" style="10" bestFit="1" customWidth="1"/>
    <col min="12056" max="12057" width="2.07421875" style="10" customWidth="1"/>
    <col min="12058" max="12058" width="31.4609375" style="10" bestFit="1" customWidth="1"/>
    <col min="12059" max="12059" width="6.07421875" style="10" bestFit="1" customWidth="1"/>
    <col min="12060" max="12061" width="9.07421875" style="10"/>
    <col min="12062" max="12062" width="26.4609375" style="10" bestFit="1" customWidth="1"/>
    <col min="12063" max="12288" width="9.07421875" style="10"/>
    <col min="12289" max="12289" width="7.53515625" style="10" bestFit="1" customWidth="1"/>
    <col min="12290" max="12290" width="6.84375" style="10" bestFit="1" customWidth="1"/>
    <col min="12291" max="12291" width="13.4609375" style="10" bestFit="1" customWidth="1"/>
    <col min="12292" max="12292" width="5.84375" style="10" bestFit="1" customWidth="1"/>
    <col min="12293" max="12293" width="5.84375" style="10" customWidth="1"/>
    <col min="12294" max="12300" width="5.84375" style="10" bestFit="1" customWidth="1"/>
    <col min="12301" max="12301" width="5.84375" style="10" customWidth="1"/>
    <col min="12302" max="12309" width="6.53515625" style="10" bestFit="1" customWidth="1"/>
    <col min="12310" max="12310" width="11.84375" style="10" bestFit="1" customWidth="1"/>
    <col min="12311" max="12311" width="8.84375" style="10" bestFit="1" customWidth="1"/>
    <col min="12312" max="12313" width="2.07421875" style="10" customWidth="1"/>
    <col min="12314" max="12314" width="31.4609375" style="10" bestFit="1" customWidth="1"/>
    <col min="12315" max="12315" width="6.07421875" style="10" bestFit="1" customWidth="1"/>
    <col min="12316" max="12317" width="9.07421875" style="10"/>
    <col min="12318" max="12318" width="26.4609375" style="10" bestFit="1" customWidth="1"/>
    <col min="12319" max="12544" width="9.07421875" style="10"/>
    <col min="12545" max="12545" width="7.53515625" style="10" bestFit="1" customWidth="1"/>
    <col min="12546" max="12546" width="6.84375" style="10" bestFit="1" customWidth="1"/>
    <col min="12547" max="12547" width="13.4609375" style="10" bestFit="1" customWidth="1"/>
    <col min="12548" max="12548" width="5.84375" style="10" bestFit="1" customWidth="1"/>
    <col min="12549" max="12549" width="5.84375" style="10" customWidth="1"/>
    <col min="12550" max="12556" width="5.84375" style="10" bestFit="1" customWidth="1"/>
    <col min="12557" max="12557" width="5.84375" style="10" customWidth="1"/>
    <col min="12558" max="12565" width="6.53515625" style="10" bestFit="1" customWidth="1"/>
    <col min="12566" max="12566" width="11.84375" style="10" bestFit="1" customWidth="1"/>
    <col min="12567" max="12567" width="8.84375" style="10" bestFit="1" customWidth="1"/>
    <col min="12568" max="12569" width="2.07421875" style="10" customWidth="1"/>
    <col min="12570" max="12570" width="31.4609375" style="10" bestFit="1" customWidth="1"/>
    <col min="12571" max="12571" width="6.07421875" style="10" bestFit="1" customWidth="1"/>
    <col min="12572" max="12573" width="9.07421875" style="10"/>
    <col min="12574" max="12574" width="26.4609375" style="10" bestFit="1" customWidth="1"/>
    <col min="12575" max="12800" width="9.07421875" style="10"/>
    <col min="12801" max="12801" width="7.53515625" style="10" bestFit="1" customWidth="1"/>
    <col min="12802" max="12802" width="6.84375" style="10" bestFit="1" customWidth="1"/>
    <col min="12803" max="12803" width="13.4609375" style="10" bestFit="1" customWidth="1"/>
    <col min="12804" max="12804" width="5.84375" style="10" bestFit="1" customWidth="1"/>
    <col min="12805" max="12805" width="5.84375" style="10" customWidth="1"/>
    <col min="12806" max="12812" width="5.84375" style="10" bestFit="1" customWidth="1"/>
    <col min="12813" max="12813" width="5.84375" style="10" customWidth="1"/>
    <col min="12814" max="12821" width="6.53515625" style="10" bestFit="1" customWidth="1"/>
    <col min="12822" max="12822" width="11.84375" style="10" bestFit="1" customWidth="1"/>
    <col min="12823" max="12823" width="8.84375" style="10" bestFit="1" customWidth="1"/>
    <col min="12824" max="12825" width="2.07421875" style="10" customWidth="1"/>
    <col min="12826" max="12826" width="31.4609375" style="10" bestFit="1" customWidth="1"/>
    <col min="12827" max="12827" width="6.07421875" style="10" bestFit="1" customWidth="1"/>
    <col min="12828" max="12829" width="9.07421875" style="10"/>
    <col min="12830" max="12830" width="26.4609375" style="10" bestFit="1" customWidth="1"/>
    <col min="12831" max="13056" width="9.07421875" style="10"/>
    <col min="13057" max="13057" width="7.53515625" style="10" bestFit="1" customWidth="1"/>
    <col min="13058" max="13058" width="6.84375" style="10" bestFit="1" customWidth="1"/>
    <col min="13059" max="13059" width="13.4609375" style="10" bestFit="1" customWidth="1"/>
    <col min="13060" max="13060" width="5.84375" style="10" bestFit="1" customWidth="1"/>
    <col min="13061" max="13061" width="5.84375" style="10" customWidth="1"/>
    <col min="13062" max="13068" width="5.84375" style="10" bestFit="1" customWidth="1"/>
    <col min="13069" max="13069" width="5.84375" style="10" customWidth="1"/>
    <col min="13070" max="13077" width="6.53515625" style="10" bestFit="1" customWidth="1"/>
    <col min="13078" max="13078" width="11.84375" style="10" bestFit="1" customWidth="1"/>
    <col min="13079" max="13079" width="8.84375" style="10" bestFit="1" customWidth="1"/>
    <col min="13080" max="13081" width="2.07421875" style="10" customWidth="1"/>
    <col min="13082" max="13082" width="31.4609375" style="10" bestFit="1" customWidth="1"/>
    <col min="13083" max="13083" width="6.07421875" style="10" bestFit="1" customWidth="1"/>
    <col min="13084" max="13085" width="9.07421875" style="10"/>
    <col min="13086" max="13086" width="26.4609375" style="10" bestFit="1" customWidth="1"/>
    <col min="13087" max="13312" width="9.07421875" style="10"/>
    <col min="13313" max="13313" width="7.53515625" style="10" bestFit="1" customWidth="1"/>
    <col min="13314" max="13314" width="6.84375" style="10" bestFit="1" customWidth="1"/>
    <col min="13315" max="13315" width="13.4609375" style="10" bestFit="1" customWidth="1"/>
    <col min="13316" max="13316" width="5.84375" style="10" bestFit="1" customWidth="1"/>
    <col min="13317" max="13317" width="5.84375" style="10" customWidth="1"/>
    <col min="13318" max="13324" width="5.84375" style="10" bestFit="1" customWidth="1"/>
    <col min="13325" max="13325" width="5.84375" style="10" customWidth="1"/>
    <col min="13326" max="13333" width="6.53515625" style="10" bestFit="1" customWidth="1"/>
    <col min="13334" max="13334" width="11.84375" style="10" bestFit="1" customWidth="1"/>
    <col min="13335" max="13335" width="8.84375" style="10" bestFit="1" customWidth="1"/>
    <col min="13336" max="13337" width="2.07421875" style="10" customWidth="1"/>
    <col min="13338" max="13338" width="31.4609375" style="10" bestFit="1" customWidth="1"/>
    <col min="13339" max="13339" width="6.07421875" style="10" bestFit="1" customWidth="1"/>
    <col min="13340" max="13341" width="9.07421875" style="10"/>
    <col min="13342" max="13342" width="26.4609375" style="10" bestFit="1" customWidth="1"/>
    <col min="13343" max="13568" width="9.07421875" style="10"/>
    <col min="13569" max="13569" width="7.53515625" style="10" bestFit="1" customWidth="1"/>
    <col min="13570" max="13570" width="6.84375" style="10" bestFit="1" customWidth="1"/>
    <col min="13571" max="13571" width="13.4609375" style="10" bestFit="1" customWidth="1"/>
    <col min="13572" max="13572" width="5.84375" style="10" bestFit="1" customWidth="1"/>
    <col min="13573" max="13573" width="5.84375" style="10" customWidth="1"/>
    <col min="13574" max="13580" width="5.84375" style="10" bestFit="1" customWidth="1"/>
    <col min="13581" max="13581" width="5.84375" style="10" customWidth="1"/>
    <col min="13582" max="13589" width="6.53515625" style="10" bestFit="1" customWidth="1"/>
    <col min="13590" max="13590" width="11.84375" style="10" bestFit="1" customWidth="1"/>
    <col min="13591" max="13591" width="8.84375" style="10" bestFit="1" customWidth="1"/>
    <col min="13592" max="13593" width="2.07421875" style="10" customWidth="1"/>
    <col min="13594" max="13594" width="31.4609375" style="10" bestFit="1" customWidth="1"/>
    <col min="13595" max="13595" width="6.07421875" style="10" bestFit="1" customWidth="1"/>
    <col min="13596" max="13597" width="9.07421875" style="10"/>
    <col min="13598" max="13598" width="26.4609375" style="10" bestFit="1" customWidth="1"/>
    <col min="13599" max="13824" width="9.07421875" style="10"/>
    <col min="13825" max="13825" width="7.53515625" style="10" bestFit="1" customWidth="1"/>
    <col min="13826" max="13826" width="6.84375" style="10" bestFit="1" customWidth="1"/>
    <col min="13827" max="13827" width="13.4609375" style="10" bestFit="1" customWidth="1"/>
    <col min="13828" max="13828" width="5.84375" style="10" bestFit="1" customWidth="1"/>
    <col min="13829" max="13829" width="5.84375" style="10" customWidth="1"/>
    <col min="13830" max="13836" width="5.84375" style="10" bestFit="1" customWidth="1"/>
    <col min="13837" max="13837" width="5.84375" style="10" customWidth="1"/>
    <col min="13838" max="13845" width="6.53515625" style="10" bestFit="1" customWidth="1"/>
    <col min="13846" max="13846" width="11.84375" style="10" bestFit="1" customWidth="1"/>
    <col min="13847" max="13847" width="8.84375" style="10" bestFit="1" customWidth="1"/>
    <col min="13848" max="13849" width="2.07421875" style="10" customWidth="1"/>
    <col min="13850" max="13850" width="31.4609375" style="10" bestFit="1" customWidth="1"/>
    <col min="13851" max="13851" width="6.07421875" style="10" bestFit="1" customWidth="1"/>
    <col min="13852" max="13853" width="9.07421875" style="10"/>
    <col min="13854" max="13854" width="26.4609375" style="10" bestFit="1" customWidth="1"/>
    <col min="13855" max="14080" width="9.07421875" style="10"/>
    <col min="14081" max="14081" width="7.53515625" style="10" bestFit="1" customWidth="1"/>
    <col min="14082" max="14082" width="6.84375" style="10" bestFit="1" customWidth="1"/>
    <col min="14083" max="14083" width="13.4609375" style="10" bestFit="1" customWidth="1"/>
    <col min="14084" max="14084" width="5.84375" style="10" bestFit="1" customWidth="1"/>
    <col min="14085" max="14085" width="5.84375" style="10" customWidth="1"/>
    <col min="14086" max="14092" width="5.84375" style="10" bestFit="1" customWidth="1"/>
    <col min="14093" max="14093" width="5.84375" style="10" customWidth="1"/>
    <col min="14094" max="14101" width="6.53515625" style="10" bestFit="1" customWidth="1"/>
    <col min="14102" max="14102" width="11.84375" style="10" bestFit="1" customWidth="1"/>
    <col min="14103" max="14103" width="8.84375" style="10" bestFit="1" customWidth="1"/>
    <col min="14104" max="14105" width="2.07421875" style="10" customWidth="1"/>
    <col min="14106" max="14106" width="31.4609375" style="10" bestFit="1" customWidth="1"/>
    <col min="14107" max="14107" width="6.07421875" style="10" bestFit="1" customWidth="1"/>
    <col min="14108" max="14109" width="9.07421875" style="10"/>
    <col min="14110" max="14110" width="26.4609375" style="10" bestFit="1" customWidth="1"/>
    <col min="14111" max="14336" width="9.07421875" style="10"/>
    <col min="14337" max="14337" width="7.53515625" style="10" bestFit="1" customWidth="1"/>
    <col min="14338" max="14338" width="6.84375" style="10" bestFit="1" customWidth="1"/>
    <col min="14339" max="14339" width="13.4609375" style="10" bestFit="1" customWidth="1"/>
    <col min="14340" max="14340" width="5.84375" style="10" bestFit="1" customWidth="1"/>
    <col min="14341" max="14341" width="5.84375" style="10" customWidth="1"/>
    <col min="14342" max="14348" width="5.84375" style="10" bestFit="1" customWidth="1"/>
    <col min="14349" max="14349" width="5.84375" style="10" customWidth="1"/>
    <col min="14350" max="14357" width="6.53515625" style="10" bestFit="1" customWidth="1"/>
    <col min="14358" max="14358" width="11.84375" style="10" bestFit="1" customWidth="1"/>
    <col min="14359" max="14359" width="8.84375" style="10" bestFit="1" customWidth="1"/>
    <col min="14360" max="14361" width="2.07421875" style="10" customWidth="1"/>
    <col min="14362" max="14362" width="31.4609375" style="10" bestFit="1" customWidth="1"/>
    <col min="14363" max="14363" width="6.07421875" style="10" bestFit="1" customWidth="1"/>
    <col min="14364" max="14365" width="9.07421875" style="10"/>
    <col min="14366" max="14366" width="26.4609375" style="10" bestFit="1" customWidth="1"/>
    <col min="14367" max="14592" width="9.07421875" style="10"/>
    <col min="14593" max="14593" width="7.53515625" style="10" bestFit="1" customWidth="1"/>
    <col min="14594" max="14594" width="6.84375" style="10" bestFit="1" customWidth="1"/>
    <col min="14595" max="14595" width="13.4609375" style="10" bestFit="1" customWidth="1"/>
    <col min="14596" max="14596" width="5.84375" style="10" bestFit="1" customWidth="1"/>
    <col min="14597" max="14597" width="5.84375" style="10" customWidth="1"/>
    <col min="14598" max="14604" width="5.84375" style="10" bestFit="1" customWidth="1"/>
    <col min="14605" max="14605" width="5.84375" style="10" customWidth="1"/>
    <col min="14606" max="14613" width="6.53515625" style="10" bestFit="1" customWidth="1"/>
    <col min="14614" max="14614" width="11.84375" style="10" bestFit="1" customWidth="1"/>
    <col min="14615" max="14615" width="8.84375" style="10" bestFit="1" customWidth="1"/>
    <col min="14616" max="14617" width="2.07421875" style="10" customWidth="1"/>
    <col min="14618" max="14618" width="31.4609375" style="10" bestFit="1" customWidth="1"/>
    <col min="14619" max="14619" width="6.07421875" style="10" bestFit="1" customWidth="1"/>
    <col min="14620" max="14621" width="9.07421875" style="10"/>
    <col min="14622" max="14622" width="26.4609375" style="10" bestFit="1" customWidth="1"/>
    <col min="14623" max="14848" width="9.07421875" style="10"/>
    <col min="14849" max="14849" width="7.53515625" style="10" bestFit="1" customWidth="1"/>
    <col min="14850" max="14850" width="6.84375" style="10" bestFit="1" customWidth="1"/>
    <col min="14851" max="14851" width="13.4609375" style="10" bestFit="1" customWidth="1"/>
    <col min="14852" max="14852" width="5.84375" style="10" bestFit="1" customWidth="1"/>
    <col min="14853" max="14853" width="5.84375" style="10" customWidth="1"/>
    <col min="14854" max="14860" width="5.84375" style="10" bestFit="1" customWidth="1"/>
    <col min="14861" max="14861" width="5.84375" style="10" customWidth="1"/>
    <col min="14862" max="14869" width="6.53515625" style="10" bestFit="1" customWidth="1"/>
    <col min="14870" max="14870" width="11.84375" style="10" bestFit="1" customWidth="1"/>
    <col min="14871" max="14871" width="8.84375" style="10" bestFit="1" customWidth="1"/>
    <col min="14872" max="14873" width="2.07421875" style="10" customWidth="1"/>
    <col min="14874" max="14874" width="31.4609375" style="10" bestFit="1" customWidth="1"/>
    <col min="14875" max="14875" width="6.07421875" style="10" bestFit="1" customWidth="1"/>
    <col min="14876" max="14877" width="9.07421875" style="10"/>
    <col min="14878" max="14878" width="26.4609375" style="10" bestFit="1" customWidth="1"/>
    <col min="14879" max="15104" width="9.07421875" style="10"/>
    <col min="15105" max="15105" width="7.53515625" style="10" bestFit="1" customWidth="1"/>
    <col min="15106" max="15106" width="6.84375" style="10" bestFit="1" customWidth="1"/>
    <col min="15107" max="15107" width="13.4609375" style="10" bestFit="1" customWidth="1"/>
    <col min="15108" max="15108" width="5.84375" style="10" bestFit="1" customWidth="1"/>
    <col min="15109" max="15109" width="5.84375" style="10" customWidth="1"/>
    <col min="15110" max="15116" width="5.84375" style="10" bestFit="1" customWidth="1"/>
    <col min="15117" max="15117" width="5.84375" style="10" customWidth="1"/>
    <col min="15118" max="15125" width="6.53515625" style="10" bestFit="1" customWidth="1"/>
    <col min="15126" max="15126" width="11.84375" style="10" bestFit="1" customWidth="1"/>
    <col min="15127" max="15127" width="8.84375" style="10" bestFit="1" customWidth="1"/>
    <col min="15128" max="15129" width="2.07421875" style="10" customWidth="1"/>
    <col min="15130" max="15130" width="31.4609375" style="10" bestFit="1" customWidth="1"/>
    <col min="15131" max="15131" width="6.07421875" style="10" bestFit="1" customWidth="1"/>
    <col min="15132" max="15133" width="9.07421875" style="10"/>
    <col min="15134" max="15134" width="26.4609375" style="10" bestFit="1" customWidth="1"/>
    <col min="15135" max="15360" width="9.07421875" style="10"/>
    <col min="15361" max="15361" width="7.53515625" style="10" bestFit="1" customWidth="1"/>
    <col min="15362" max="15362" width="6.84375" style="10" bestFit="1" customWidth="1"/>
    <col min="15363" max="15363" width="13.4609375" style="10" bestFit="1" customWidth="1"/>
    <col min="15364" max="15364" width="5.84375" style="10" bestFit="1" customWidth="1"/>
    <col min="15365" max="15365" width="5.84375" style="10" customWidth="1"/>
    <col min="15366" max="15372" width="5.84375" style="10" bestFit="1" customWidth="1"/>
    <col min="15373" max="15373" width="5.84375" style="10" customWidth="1"/>
    <col min="15374" max="15381" width="6.53515625" style="10" bestFit="1" customWidth="1"/>
    <col min="15382" max="15382" width="11.84375" style="10" bestFit="1" customWidth="1"/>
    <col min="15383" max="15383" width="8.84375" style="10" bestFit="1" customWidth="1"/>
    <col min="15384" max="15385" width="2.07421875" style="10" customWidth="1"/>
    <col min="15386" max="15386" width="31.4609375" style="10" bestFit="1" customWidth="1"/>
    <col min="15387" max="15387" width="6.07421875" style="10" bestFit="1" customWidth="1"/>
    <col min="15388" max="15389" width="9.07421875" style="10"/>
    <col min="15390" max="15390" width="26.4609375" style="10" bestFit="1" customWidth="1"/>
    <col min="15391" max="15616" width="9.07421875" style="10"/>
    <col min="15617" max="15617" width="7.53515625" style="10" bestFit="1" customWidth="1"/>
    <col min="15618" max="15618" width="6.84375" style="10" bestFit="1" customWidth="1"/>
    <col min="15619" max="15619" width="13.4609375" style="10" bestFit="1" customWidth="1"/>
    <col min="15620" max="15620" width="5.84375" style="10" bestFit="1" customWidth="1"/>
    <col min="15621" max="15621" width="5.84375" style="10" customWidth="1"/>
    <col min="15622" max="15628" width="5.84375" style="10" bestFit="1" customWidth="1"/>
    <col min="15629" max="15629" width="5.84375" style="10" customWidth="1"/>
    <col min="15630" max="15637" width="6.53515625" style="10" bestFit="1" customWidth="1"/>
    <col min="15638" max="15638" width="11.84375" style="10" bestFit="1" customWidth="1"/>
    <col min="15639" max="15639" width="8.84375" style="10" bestFit="1" customWidth="1"/>
    <col min="15640" max="15641" width="2.07421875" style="10" customWidth="1"/>
    <col min="15642" max="15642" width="31.4609375" style="10" bestFit="1" customWidth="1"/>
    <col min="15643" max="15643" width="6.07421875" style="10" bestFit="1" customWidth="1"/>
    <col min="15644" max="15645" width="9.07421875" style="10"/>
    <col min="15646" max="15646" width="26.4609375" style="10" bestFit="1" customWidth="1"/>
    <col min="15647" max="15872" width="9.07421875" style="10"/>
    <col min="15873" max="15873" width="7.53515625" style="10" bestFit="1" customWidth="1"/>
    <col min="15874" max="15874" width="6.84375" style="10" bestFit="1" customWidth="1"/>
    <col min="15875" max="15875" width="13.4609375" style="10" bestFit="1" customWidth="1"/>
    <col min="15876" max="15876" width="5.84375" style="10" bestFit="1" customWidth="1"/>
    <col min="15877" max="15877" width="5.84375" style="10" customWidth="1"/>
    <col min="15878" max="15884" width="5.84375" style="10" bestFit="1" customWidth="1"/>
    <col min="15885" max="15885" width="5.84375" style="10" customWidth="1"/>
    <col min="15886" max="15893" width="6.53515625" style="10" bestFit="1" customWidth="1"/>
    <col min="15894" max="15894" width="11.84375" style="10" bestFit="1" customWidth="1"/>
    <col min="15895" max="15895" width="8.84375" style="10" bestFit="1" customWidth="1"/>
    <col min="15896" max="15897" width="2.07421875" style="10" customWidth="1"/>
    <col min="15898" max="15898" width="31.4609375" style="10" bestFit="1" customWidth="1"/>
    <col min="15899" max="15899" width="6.07421875" style="10" bestFit="1" customWidth="1"/>
    <col min="15900" max="15901" width="9.07421875" style="10"/>
    <col min="15902" max="15902" width="26.4609375" style="10" bestFit="1" customWidth="1"/>
    <col min="15903" max="16128" width="9.07421875" style="10"/>
    <col min="16129" max="16129" width="7.53515625" style="10" bestFit="1" customWidth="1"/>
    <col min="16130" max="16130" width="6.84375" style="10" bestFit="1" customWidth="1"/>
    <col min="16131" max="16131" width="13.4609375" style="10" bestFit="1" customWidth="1"/>
    <col min="16132" max="16132" width="5.84375" style="10" bestFit="1" customWidth="1"/>
    <col min="16133" max="16133" width="5.84375" style="10" customWidth="1"/>
    <col min="16134" max="16140" width="5.84375" style="10" bestFit="1" customWidth="1"/>
    <col min="16141" max="16141" width="5.84375" style="10" customWidth="1"/>
    <col min="16142" max="16149" width="6.53515625" style="10" bestFit="1" customWidth="1"/>
    <col min="16150" max="16150" width="11.84375" style="10" bestFit="1" customWidth="1"/>
    <col min="16151" max="16151" width="8.84375" style="10" bestFit="1" customWidth="1"/>
    <col min="16152" max="16153" width="2.07421875" style="10" customWidth="1"/>
    <col min="16154" max="16154" width="31.4609375" style="10" bestFit="1" customWidth="1"/>
    <col min="16155" max="16155" width="6.07421875" style="10" bestFit="1" customWidth="1"/>
    <col min="16156" max="16157" width="9.07421875" style="10"/>
    <col min="16158" max="16158" width="26.4609375" style="10" bestFit="1" customWidth="1"/>
    <col min="16159" max="16384" width="9.07421875" style="10"/>
  </cols>
  <sheetData>
    <row r="1" spans="1:28" ht="28.3" x14ac:dyDescent="0.75">
      <c r="A1" s="10" t="s">
        <v>46</v>
      </c>
      <c r="B1" s="10" t="s">
        <v>47</v>
      </c>
      <c r="C1" s="10" t="s">
        <v>7</v>
      </c>
      <c r="D1" s="11" t="s">
        <v>48</v>
      </c>
      <c r="E1" s="11" t="s">
        <v>49</v>
      </c>
      <c r="F1" s="11" t="s">
        <v>50</v>
      </c>
      <c r="G1" s="11" t="s">
        <v>51</v>
      </c>
      <c r="H1" s="11" t="s">
        <v>52</v>
      </c>
      <c r="I1" s="11" t="s">
        <v>53</v>
      </c>
      <c r="J1" s="11" t="s">
        <v>54</v>
      </c>
      <c r="K1" s="11" t="s">
        <v>55</v>
      </c>
      <c r="L1" s="11" t="s">
        <v>56</v>
      </c>
      <c r="M1" s="11" t="s">
        <v>57</v>
      </c>
      <c r="N1" s="11" t="s">
        <v>58</v>
      </c>
      <c r="O1" s="11" t="s">
        <v>59</v>
      </c>
      <c r="P1" s="11" t="s">
        <v>60</v>
      </c>
      <c r="Q1" s="11" t="s">
        <v>61</v>
      </c>
      <c r="R1" s="11" t="s">
        <v>62</v>
      </c>
      <c r="S1" s="11" t="s">
        <v>63</v>
      </c>
      <c r="T1" s="11" t="s">
        <v>64</v>
      </c>
      <c r="U1" s="11" t="s">
        <v>65</v>
      </c>
      <c r="V1" s="10" t="s">
        <v>66</v>
      </c>
      <c r="W1" s="10" t="s">
        <v>67</v>
      </c>
      <c r="Z1" s="12" t="s">
        <v>68</v>
      </c>
      <c r="AA1" s="13">
        <v>0</v>
      </c>
      <c r="AB1" s="10" t="s">
        <v>69</v>
      </c>
    </row>
    <row r="2" spans="1:28" ht="18.45" x14ac:dyDescent="0.4">
      <c r="A2" s="14">
        <v>1</v>
      </c>
      <c r="B2" s="14">
        <v>1</v>
      </c>
      <c r="C2" s="14" t="s">
        <v>13</v>
      </c>
      <c r="D2" s="15">
        <v>14</v>
      </c>
      <c r="E2" s="16">
        <v>6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4">
        <v>0</v>
      </c>
      <c r="W2" s="14">
        <v>0</v>
      </c>
      <c r="X2" s="10">
        <v>20</v>
      </c>
      <c r="Y2" s="17"/>
    </row>
    <row r="3" spans="1:28" ht="12.75" customHeight="1" x14ac:dyDescent="0.4">
      <c r="A3" s="14">
        <v>2</v>
      </c>
      <c r="B3" s="14">
        <v>3</v>
      </c>
      <c r="C3" s="14" t="s">
        <v>21</v>
      </c>
      <c r="D3" s="16">
        <v>11</v>
      </c>
      <c r="E3" s="16">
        <v>6</v>
      </c>
      <c r="F3" s="16"/>
      <c r="G3" s="16"/>
      <c r="H3" s="16"/>
      <c r="I3" s="16"/>
      <c r="J3" s="16"/>
      <c r="K3" s="18"/>
      <c r="L3" s="16"/>
      <c r="M3" s="16"/>
      <c r="N3" s="16"/>
      <c r="O3" s="16"/>
      <c r="P3" s="16"/>
      <c r="Q3" s="16"/>
      <c r="R3" s="16"/>
      <c r="S3" s="16"/>
      <c r="T3" s="16"/>
      <c r="U3" s="16"/>
      <c r="V3" s="14">
        <v>0</v>
      </c>
      <c r="W3" s="14">
        <v>0</v>
      </c>
      <c r="X3" s="10">
        <v>18</v>
      </c>
    </row>
    <row r="4" spans="1:28" ht="12.75" customHeight="1" x14ac:dyDescent="0.4">
      <c r="A4" s="14">
        <v>3</v>
      </c>
      <c r="B4" s="14">
        <v>4</v>
      </c>
      <c r="C4" s="14" t="s">
        <v>22</v>
      </c>
      <c r="D4" s="16">
        <v>6</v>
      </c>
      <c r="E4" s="16">
        <v>4</v>
      </c>
      <c r="F4" s="16"/>
      <c r="G4" s="18"/>
      <c r="H4" s="16"/>
      <c r="I4" s="16"/>
      <c r="J4" s="16"/>
      <c r="K4" s="16"/>
      <c r="L4" s="16"/>
      <c r="M4" s="16"/>
      <c r="N4" s="16"/>
      <c r="O4" s="18"/>
      <c r="P4" s="16"/>
      <c r="Q4" s="16"/>
      <c r="R4" s="16"/>
      <c r="S4" s="16"/>
      <c r="T4" s="16"/>
      <c r="U4" s="16"/>
      <c r="V4" s="14">
        <v>0</v>
      </c>
      <c r="W4" s="14">
        <v>0</v>
      </c>
      <c r="X4" s="10">
        <v>12</v>
      </c>
    </row>
    <row r="5" spans="1:28" ht="12.75" customHeight="1" x14ac:dyDescent="0.4">
      <c r="A5" s="14">
        <v>4</v>
      </c>
      <c r="B5" s="14">
        <v>5</v>
      </c>
      <c r="C5" s="14" t="s">
        <v>33</v>
      </c>
      <c r="D5" s="16">
        <v>7</v>
      </c>
      <c r="E5" s="16">
        <v>4</v>
      </c>
      <c r="F5" s="16"/>
      <c r="G5" s="16"/>
      <c r="H5" s="16"/>
      <c r="I5" s="16"/>
      <c r="J5" s="16"/>
      <c r="K5" s="16"/>
      <c r="L5" s="16"/>
      <c r="M5" s="18"/>
      <c r="N5" s="16"/>
      <c r="O5" s="16"/>
      <c r="P5" s="16"/>
      <c r="Q5" s="16"/>
      <c r="R5" s="16"/>
      <c r="S5" s="18"/>
      <c r="T5" s="18"/>
      <c r="U5" s="16"/>
      <c r="V5" s="14">
        <v>0</v>
      </c>
      <c r="W5" s="14">
        <v>0</v>
      </c>
      <c r="X5" s="10">
        <v>10</v>
      </c>
    </row>
    <row r="6" spans="1:28" ht="12.75" customHeight="1" x14ac:dyDescent="0.4">
      <c r="A6" s="14">
        <v>5</v>
      </c>
      <c r="B6" s="14">
        <v>6</v>
      </c>
      <c r="C6" s="14" t="s">
        <v>34</v>
      </c>
      <c r="D6" s="16">
        <v>2</v>
      </c>
      <c r="E6" s="16">
        <v>3</v>
      </c>
      <c r="F6" s="16"/>
      <c r="G6" s="16"/>
      <c r="H6" s="16"/>
      <c r="I6" s="18"/>
      <c r="J6" s="16"/>
      <c r="K6" s="16"/>
      <c r="L6" s="16"/>
      <c r="M6" s="16"/>
      <c r="N6" s="16"/>
      <c r="O6" s="16"/>
      <c r="P6" s="18"/>
      <c r="Q6" s="16"/>
      <c r="R6" s="16"/>
      <c r="S6" s="18"/>
      <c r="T6" s="16"/>
      <c r="U6" s="16"/>
      <c r="V6" s="14">
        <v>0</v>
      </c>
      <c r="W6" s="14">
        <v>0</v>
      </c>
      <c r="X6" s="10">
        <v>9</v>
      </c>
    </row>
    <row r="7" spans="1:28" ht="12.75" customHeight="1" x14ac:dyDescent="0.4">
      <c r="A7" s="14">
        <v>6</v>
      </c>
      <c r="B7" s="14">
        <v>7</v>
      </c>
      <c r="C7" s="14" t="s">
        <v>37</v>
      </c>
      <c r="D7" s="16">
        <v>2</v>
      </c>
      <c r="E7" s="16">
        <v>6</v>
      </c>
      <c r="F7" s="18"/>
      <c r="G7" s="16"/>
      <c r="H7" s="16"/>
      <c r="I7" s="16"/>
      <c r="J7" s="16"/>
      <c r="K7" s="16"/>
      <c r="L7" s="16"/>
      <c r="M7" s="16"/>
      <c r="N7" s="16"/>
      <c r="O7" s="16"/>
      <c r="P7" s="18"/>
      <c r="Q7" s="16"/>
      <c r="R7" s="16"/>
      <c r="S7" s="16"/>
      <c r="T7" s="16"/>
      <c r="U7" s="16"/>
      <c r="V7" s="14">
        <v>0</v>
      </c>
      <c r="W7" s="14">
        <v>0</v>
      </c>
      <c r="X7" s="10">
        <v>8</v>
      </c>
    </row>
    <row r="8" spans="1:28" ht="12.75" customHeight="1" x14ac:dyDescent="0.4">
      <c r="A8" s="14">
        <v>7</v>
      </c>
      <c r="B8" s="14">
        <v>8</v>
      </c>
      <c r="C8" s="14" t="s">
        <v>38</v>
      </c>
      <c r="D8" s="16">
        <v>5</v>
      </c>
      <c r="E8" s="16">
        <v>10</v>
      </c>
      <c r="F8" s="18"/>
      <c r="G8" s="16"/>
      <c r="H8" s="18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4">
        <v>0</v>
      </c>
      <c r="W8" s="14">
        <v>0</v>
      </c>
      <c r="X8" s="10">
        <v>8</v>
      </c>
    </row>
    <row r="9" spans="1:28" ht="12.75" customHeight="1" x14ac:dyDescent="0.4">
      <c r="A9" s="14">
        <v>8</v>
      </c>
      <c r="B9" s="14">
        <v>9</v>
      </c>
      <c r="C9" s="14" t="s">
        <v>41</v>
      </c>
      <c r="D9" s="16">
        <v>6</v>
      </c>
      <c r="E9" s="16">
        <v>11</v>
      </c>
      <c r="F9" s="16"/>
      <c r="G9" s="16"/>
      <c r="H9" s="18"/>
      <c r="I9" s="16"/>
      <c r="J9" s="18"/>
      <c r="K9" s="16"/>
      <c r="L9" s="16"/>
      <c r="M9" s="16"/>
      <c r="N9" s="18"/>
      <c r="O9" s="16"/>
      <c r="P9" s="16"/>
      <c r="Q9" s="16"/>
      <c r="R9" s="16"/>
      <c r="S9" s="16"/>
      <c r="T9" s="16"/>
      <c r="U9" s="16"/>
      <c r="V9" s="14">
        <v>0</v>
      </c>
      <c r="W9" s="14">
        <v>0</v>
      </c>
      <c r="X9" s="10">
        <v>8</v>
      </c>
    </row>
    <row r="10" spans="1:28" ht="12.75" customHeight="1" x14ac:dyDescent="0.4">
      <c r="A10" s="14">
        <v>9</v>
      </c>
      <c r="B10" s="14">
        <v>10</v>
      </c>
      <c r="C10" s="14" t="s">
        <v>42</v>
      </c>
      <c r="D10" s="16">
        <v>1</v>
      </c>
      <c r="E10" s="16">
        <v>2</v>
      </c>
      <c r="F10" s="19"/>
      <c r="G10" s="16"/>
      <c r="H10" s="16"/>
      <c r="I10" s="19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8"/>
      <c r="U10" s="16"/>
      <c r="V10" s="14">
        <v>0</v>
      </c>
      <c r="W10" s="14">
        <v>0</v>
      </c>
      <c r="X10" s="10">
        <v>8</v>
      </c>
    </row>
    <row r="11" spans="1:28" x14ac:dyDescent="0.3">
      <c r="A11" s="14">
        <v>10</v>
      </c>
      <c r="B11" s="14">
        <v>11</v>
      </c>
      <c r="C11" s="14" t="s">
        <v>70</v>
      </c>
      <c r="D11" s="16">
        <v>0</v>
      </c>
      <c r="E11" s="16">
        <v>12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4">
        <v>0</v>
      </c>
      <c r="W11" s="14">
        <v>0</v>
      </c>
      <c r="X11" s="10">
        <v>7</v>
      </c>
    </row>
    <row r="12" spans="1:28" ht="12.75" customHeight="1" x14ac:dyDescent="0.4">
      <c r="A12" s="14">
        <v>11</v>
      </c>
      <c r="B12" s="14">
        <v>12</v>
      </c>
      <c r="C12" s="14" t="s">
        <v>36</v>
      </c>
      <c r="D12" s="16">
        <v>2</v>
      </c>
      <c r="E12" s="16">
        <v>3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8"/>
      <c r="R12" s="16"/>
      <c r="S12" s="16"/>
      <c r="T12" s="16"/>
      <c r="U12" s="16"/>
      <c r="V12" s="14">
        <v>0</v>
      </c>
      <c r="W12" s="14">
        <v>0</v>
      </c>
      <c r="X12" s="10">
        <v>6</v>
      </c>
    </row>
    <row r="13" spans="1:28" x14ac:dyDescent="0.3">
      <c r="A13" s="14">
        <v>12</v>
      </c>
      <c r="B13" s="14">
        <v>13</v>
      </c>
      <c r="C13" s="14" t="s">
        <v>29</v>
      </c>
      <c r="D13" s="16">
        <v>3</v>
      </c>
      <c r="E13" s="16">
        <v>7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4">
        <v>0</v>
      </c>
      <c r="W13" s="14">
        <v>0</v>
      </c>
      <c r="X13" s="10">
        <v>6</v>
      </c>
    </row>
    <row r="14" spans="1:28" ht="12.75" customHeight="1" x14ac:dyDescent="0.4">
      <c r="A14" s="14">
        <v>13</v>
      </c>
      <c r="B14" s="14">
        <v>14</v>
      </c>
      <c r="C14" s="14" t="s">
        <v>30</v>
      </c>
      <c r="D14" s="16">
        <v>6</v>
      </c>
      <c r="E14" s="15">
        <v>20</v>
      </c>
      <c r="F14" s="16"/>
      <c r="G14" s="16"/>
      <c r="H14" s="16"/>
      <c r="I14" s="16"/>
      <c r="J14" s="18"/>
      <c r="K14" s="16"/>
      <c r="L14" s="16"/>
      <c r="M14" s="16"/>
      <c r="N14" s="18"/>
      <c r="O14" s="18"/>
      <c r="P14" s="16"/>
      <c r="Q14" s="16"/>
      <c r="R14" s="16"/>
      <c r="S14" s="16"/>
      <c r="T14" s="16"/>
      <c r="U14" s="16"/>
      <c r="V14" s="14">
        <v>0</v>
      </c>
      <c r="W14" s="14">
        <v>0</v>
      </c>
      <c r="X14" s="10">
        <v>6</v>
      </c>
    </row>
    <row r="15" spans="1:28" ht="12.75" customHeight="1" x14ac:dyDescent="0.4">
      <c r="A15" s="14">
        <v>14</v>
      </c>
      <c r="B15" s="14">
        <v>15</v>
      </c>
      <c r="C15" s="14" t="s">
        <v>43</v>
      </c>
      <c r="D15" s="16">
        <v>2</v>
      </c>
      <c r="E15" s="16">
        <v>0</v>
      </c>
      <c r="F15" s="16"/>
      <c r="G15" s="18"/>
      <c r="H15" s="16"/>
      <c r="I15" s="16"/>
      <c r="J15" s="16"/>
      <c r="K15" s="16"/>
      <c r="L15" s="16"/>
      <c r="M15" s="16"/>
      <c r="N15" s="16"/>
      <c r="O15" s="18"/>
      <c r="P15" s="16"/>
      <c r="Q15" s="16"/>
      <c r="R15" s="18"/>
      <c r="S15" s="16"/>
      <c r="T15" s="16"/>
      <c r="U15" s="16"/>
      <c r="V15" s="14">
        <v>0</v>
      </c>
      <c r="W15" s="14">
        <v>0</v>
      </c>
      <c r="X15" s="10">
        <v>6</v>
      </c>
    </row>
    <row r="16" spans="1:28" ht="12.75" customHeight="1" x14ac:dyDescent="0.4">
      <c r="A16" s="14">
        <v>15</v>
      </c>
      <c r="B16" s="14">
        <v>16</v>
      </c>
      <c r="C16" s="14" t="s">
        <v>44</v>
      </c>
      <c r="D16" s="16">
        <v>2</v>
      </c>
      <c r="E16" s="16">
        <v>12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8"/>
      <c r="Q16" s="16"/>
      <c r="R16" s="16"/>
      <c r="S16" s="16"/>
      <c r="T16" s="16"/>
      <c r="U16" s="16"/>
      <c r="V16" s="14">
        <v>0</v>
      </c>
      <c r="W16" s="14">
        <v>0</v>
      </c>
      <c r="X16" s="10">
        <v>6</v>
      </c>
    </row>
    <row r="17" spans="1:26" ht="12.75" customHeight="1" x14ac:dyDescent="0.4">
      <c r="A17" s="14">
        <v>16</v>
      </c>
      <c r="B17" s="14">
        <v>17</v>
      </c>
      <c r="C17" s="14" t="s">
        <v>25</v>
      </c>
      <c r="D17" s="16">
        <v>6</v>
      </c>
      <c r="E17" s="16">
        <v>3</v>
      </c>
      <c r="F17" s="16"/>
      <c r="G17" s="16"/>
      <c r="H17" s="16"/>
      <c r="I17" s="16"/>
      <c r="J17" s="16"/>
      <c r="K17" s="16"/>
      <c r="L17" s="18"/>
      <c r="M17" s="18"/>
      <c r="N17" s="18"/>
      <c r="O17" s="16"/>
      <c r="P17" s="16"/>
      <c r="Q17" s="16"/>
      <c r="R17" s="16"/>
      <c r="S17" s="16"/>
      <c r="T17" s="16"/>
      <c r="U17" s="16"/>
      <c r="V17" s="14">
        <v>0</v>
      </c>
      <c r="W17" s="14">
        <v>0</v>
      </c>
      <c r="X17" s="10">
        <v>6</v>
      </c>
    </row>
    <row r="18" spans="1:26" ht="12.75" customHeight="1" x14ac:dyDescent="0.4">
      <c r="A18" s="14">
        <v>17</v>
      </c>
      <c r="B18" s="14">
        <v>18</v>
      </c>
      <c r="C18" s="14" t="s">
        <v>26</v>
      </c>
      <c r="D18" s="16">
        <v>6</v>
      </c>
      <c r="E18" s="16">
        <v>1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8"/>
      <c r="Q18" s="16"/>
      <c r="R18" s="16"/>
      <c r="S18" s="16"/>
      <c r="T18" s="16"/>
      <c r="U18" s="16"/>
      <c r="V18" s="14">
        <v>0</v>
      </c>
      <c r="W18" s="14">
        <v>0</v>
      </c>
      <c r="X18" s="10">
        <v>6</v>
      </c>
    </row>
    <row r="19" spans="1:26" x14ac:dyDescent="0.3">
      <c r="A19" s="14">
        <v>18</v>
      </c>
      <c r="B19" s="14">
        <v>19</v>
      </c>
      <c r="C19" s="14" t="s">
        <v>17</v>
      </c>
      <c r="D19" s="16">
        <v>6</v>
      </c>
      <c r="E19" s="16">
        <v>17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4">
        <v>0</v>
      </c>
      <c r="W19" s="14">
        <v>0</v>
      </c>
      <c r="X19" s="10">
        <v>6</v>
      </c>
    </row>
    <row r="20" spans="1:26" ht="18.45" x14ac:dyDescent="0.3">
      <c r="A20" s="14">
        <v>19</v>
      </c>
      <c r="B20" s="14">
        <v>20</v>
      </c>
      <c r="C20" s="14" t="s">
        <v>18</v>
      </c>
      <c r="D20" s="16">
        <v>6</v>
      </c>
      <c r="E20" s="16">
        <v>17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4">
        <v>0</v>
      </c>
      <c r="W20" s="14">
        <v>0</v>
      </c>
      <c r="X20" s="10">
        <v>6</v>
      </c>
      <c r="Z20" s="17"/>
    </row>
    <row r="21" spans="1:26" ht="12.75" customHeight="1" x14ac:dyDescent="0.4">
      <c r="A21" s="14">
        <v>20</v>
      </c>
      <c r="B21" s="14">
        <v>21</v>
      </c>
      <c r="C21" s="14" t="s">
        <v>9</v>
      </c>
      <c r="D21" s="16">
        <v>9</v>
      </c>
      <c r="E21" s="16">
        <v>14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8"/>
      <c r="U21" s="16"/>
      <c r="V21" s="14">
        <v>0</v>
      </c>
      <c r="W21" s="14">
        <v>0</v>
      </c>
      <c r="X21" s="10">
        <v>5</v>
      </c>
    </row>
    <row r="22" spans="1:26" ht="12.75" customHeight="1" x14ac:dyDescent="0.4">
      <c r="A22" s="14">
        <v>21</v>
      </c>
      <c r="B22" s="14">
        <v>22</v>
      </c>
      <c r="C22" s="14" t="s">
        <v>10</v>
      </c>
      <c r="D22" s="16">
        <v>4</v>
      </c>
      <c r="E22" s="16">
        <v>14</v>
      </c>
      <c r="F22" s="16"/>
      <c r="G22" s="18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4">
        <v>0</v>
      </c>
      <c r="W22" s="14">
        <v>0</v>
      </c>
      <c r="X22" s="10">
        <v>5</v>
      </c>
    </row>
    <row r="23" spans="1:26" ht="12.75" customHeight="1" x14ac:dyDescent="0.4">
      <c r="A23" s="14">
        <v>22</v>
      </c>
      <c r="B23" s="14">
        <v>23</v>
      </c>
      <c r="C23" s="14" t="s">
        <v>11</v>
      </c>
      <c r="D23" s="16">
        <v>4</v>
      </c>
      <c r="E23" s="16">
        <v>6</v>
      </c>
      <c r="F23" s="16"/>
      <c r="G23" s="16"/>
      <c r="H23" s="16"/>
      <c r="I23" s="16"/>
      <c r="J23" s="16"/>
      <c r="K23" s="16"/>
      <c r="L23" s="16"/>
      <c r="M23" s="18"/>
      <c r="N23" s="16"/>
      <c r="O23" s="16"/>
      <c r="P23" s="18"/>
      <c r="Q23" s="16"/>
      <c r="R23" s="16"/>
      <c r="S23" s="18"/>
      <c r="T23" s="16"/>
      <c r="U23" s="16"/>
      <c r="V23" s="14">
        <v>0</v>
      </c>
      <c r="W23" s="14">
        <v>0</v>
      </c>
      <c r="X23" s="10">
        <v>5</v>
      </c>
    </row>
    <row r="24" spans="1:26" ht="12.75" customHeight="1" x14ac:dyDescent="0.4">
      <c r="A24" s="14">
        <v>23</v>
      </c>
      <c r="B24" s="14">
        <v>24</v>
      </c>
      <c r="C24" s="14" t="s">
        <v>12</v>
      </c>
      <c r="D24" s="16">
        <v>8</v>
      </c>
      <c r="E24" s="16">
        <v>14</v>
      </c>
      <c r="F24" s="16"/>
      <c r="G24" s="16"/>
      <c r="H24" s="16"/>
      <c r="I24" s="16"/>
      <c r="J24" s="18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4">
        <v>0</v>
      </c>
      <c r="W24" s="14">
        <v>0</v>
      </c>
      <c r="X24" s="10">
        <v>4</v>
      </c>
    </row>
    <row r="25" spans="1:26" ht="12.75" customHeight="1" x14ac:dyDescent="0.4">
      <c r="A25" s="14">
        <v>24</v>
      </c>
      <c r="B25" s="14">
        <v>25</v>
      </c>
      <c r="C25" s="14" t="s">
        <v>27</v>
      </c>
      <c r="D25" s="16">
        <v>2</v>
      </c>
      <c r="E25" s="16">
        <v>4</v>
      </c>
      <c r="F25" s="16"/>
      <c r="G25" s="16"/>
      <c r="H25" s="16"/>
      <c r="I25" s="16"/>
      <c r="J25" s="16"/>
      <c r="K25" s="16"/>
      <c r="L25" s="16"/>
      <c r="M25" s="16"/>
      <c r="N25" s="16"/>
      <c r="O25" s="18"/>
      <c r="P25" s="16"/>
      <c r="Q25" s="16"/>
      <c r="R25" s="16"/>
      <c r="S25" s="16"/>
      <c r="T25" s="16"/>
      <c r="U25" s="16"/>
      <c r="V25" s="14">
        <v>0</v>
      </c>
      <c r="W25" s="14">
        <v>0</v>
      </c>
      <c r="X25" s="10">
        <v>4</v>
      </c>
    </row>
    <row r="26" spans="1:26" ht="12.75" customHeight="1" x14ac:dyDescent="0.4">
      <c r="A26" s="14">
        <v>25</v>
      </c>
      <c r="B26" s="14">
        <v>26</v>
      </c>
      <c r="C26" s="14" t="s">
        <v>28</v>
      </c>
      <c r="D26" s="16">
        <v>13</v>
      </c>
      <c r="E26" s="16">
        <v>2</v>
      </c>
      <c r="F26" s="16"/>
      <c r="G26" s="1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4">
        <v>0</v>
      </c>
      <c r="W26" s="14">
        <v>0</v>
      </c>
      <c r="X26" s="10">
        <v>4</v>
      </c>
    </row>
    <row r="27" spans="1:26" x14ac:dyDescent="0.3">
      <c r="A27" s="14">
        <v>26</v>
      </c>
      <c r="B27" s="14">
        <v>27</v>
      </c>
      <c r="C27" s="14" t="s">
        <v>19</v>
      </c>
      <c r="D27" s="16">
        <v>6</v>
      </c>
      <c r="E27" s="16">
        <v>8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4">
        <v>0</v>
      </c>
      <c r="W27" s="14">
        <v>0</v>
      </c>
      <c r="X27" s="10">
        <v>3</v>
      </c>
    </row>
    <row r="28" spans="1:26" ht="12.75" customHeight="1" x14ac:dyDescent="0.4">
      <c r="A28" s="14">
        <v>27</v>
      </c>
      <c r="B28" s="14">
        <v>28</v>
      </c>
      <c r="C28" s="14" t="s">
        <v>20</v>
      </c>
      <c r="D28" s="16">
        <v>11</v>
      </c>
      <c r="E28" s="16">
        <v>8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8"/>
      <c r="V28" s="14">
        <v>0</v>
      </c>
      <c r="W28" s="14">
        <v>0</v>
      </c>
      <c r="X28" s="10">
        <v>3</v>
      </c>
    </row>
    <row r="29" spans="1:26" ht="12.75" customHeight="1" x14ac:dyDescent="0.4">
      <c r="A29" s="14">
        <v>28</v>
      </c>
      <c r="B29" s="14">
        <v>29</v>
      </c>
      <c r="C29" s="14" t="s">
        <v>39</v>
      </c>
      <c r="D29" s="16">
        <v>6</v>
      </c>
      <c r="E29" s="16">
        <v>4</v>
      </c>
      <c r="F29" s="16"/>
      <c r="G29" s="16"/>
      <c r="H29" s="16"/>
      <c r="I29" s="16"/>
      <c r="J29" s="16"/>
      <c r="K29" s="16"/>
      <c r="L29" s="16"/>
      <c r="M29" s="16"/>
      <c r="N29" s="16"/>
      <c r="O29" s="18"/>
      <c r="P29" s="16"/>
      <c r="Q29" s="16"/>
      <c r="R29" s="16"/>
      <c r="S29" s="16"/>
      <c r="T29" s="16"/>
      <c r="U29" s="16"/>
      <c r="V29" s="14">
        <v>0</v>
      </c>
      <c r="W29" s="14">
        <v>0</v>
      </c>
      <c r="X29" s="10">
        <v>2</v>
      </c>
    </row>
    <row r="30" spans="1:26" ht="12.75" customHeight="1" x14ac:dyDescent="0.4">
      <c r="A30" s="14">
        <v>29</v>
      </c>
      <c r="B30" s="14">
        <v>30</v>
      </c>
      <c r="C30" s="14" t="s">
        <v>71</v>
      </c>
      <c r="D30" s="16">
        <v>2</v>
      </c>
      <c r="E30" s="16">
        <v>11</v>
      </c>
      <c r="F30" s="16"/>
      <c r="G30" s="16"/>
      <c r="H30" s="16"/>
      <c r="I30" s="16"/>
      <c r="J30" s="18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8"/>
      <c r="V30" s="14">
        <v>0</v>
      </c>
      <c r="W30" s="14">
        <v>0</v>
      </c>
      <c r="X30" s="10">
        <v>2</v>
      </c>
    </row>
    <row r="31" spans="1:26" ht="12.75" customHeight="1" x14ac:dyDescent="0.4">
      <c r="A31" s="14">
        <v>30</v>
      </c>
      <c r="B31" s="14">
        <v>31</v>
      </c>
      <c r="C31" s="14" t="s">
        <v>72</v>
      </c>
      <c r="D31" s="16">
        <v>9</v>
      </c>
      <c r="E31" s="16">
        <v>13</v>
      </c>
      <c r="F31" s="16"/>
      <c r="G31" s="16"/>
      <c r="H31" s="18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4">
        <v>0</v>
      </c>
      <c r="W31" s="14">
        <v>0</v>
      </c>
      <c r="X31" s="10">
        <v>1</v>
      </c>
    </row>
    <row r="32" spans="1:26" x14ac:dyDescent="0.3">
      <c r="A32" s="14">
        <v>31</v>
      </c>
      <c r="B32" s="14">
        <v>32</v>
      </c>
      <c r="C32" s="14" t="s">
        <v>16</v>
      </c>
      <c r="D32" s="16">
        <v>2</v>
      </c>
      <c r="E32" s="16">
        <v>6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4">
        <v>0</v>
      </c>
      <c r="W32" s="14">
        <v>0</v>
      </c>
      <c r="X32" s="10">
        <v>1</v>
      </c>
    </row>
    <row r="33" spans="1:24" ht="12.75" customHeight="1" x14ac:dyDescent="0.4">
      <c r="A33" s="14">
        <v>32</v>
      </c>
      <c r="B33" s="14">
        <v>33</v>
      </c>
      <c r="C33" s="14" t="s">
        <v>23</v>
      </c>
      <c r="D33" s="16">
        <v>6</v>
      </c>
      <c r="E33" s="16">
        <v>9</v>
      </c>
      <c r="F33" s="16"/>
      <c r="G33" s="16"/>
      <c r="H33" s="16"/>
      <c r="I33" s="18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8"/>
      <c r="U33" s="16"/>
      <c r="V33" s="14">
        <v>0</v>
      </c>
      <c r="W33" s="14">
        <v>0</v>
      </c>
      <c r="X33" s="10">
        <v>1</v>
      </c>
    </row>
    <row r="34" spans="1:24" ht="12.75" customHeight="1" x14ac:dyDescent="0.4">
      <c r="A34" s="14">
        <v>33</v>
      </c>
      <c r="B34" s="14">
        <v>34</v>
      </c>
      <c r="C34" s="14" t="s">
        <v>24</v>
      </c>
      <c r="D34" s="16">
        <v>6</v>
      </c>
      <c r="E34" s="16">
        <v>7</v>
      </c>
      <c r="F34" s="16"/>
      <c r="G34" s="16"/>
      <c r="H34" s="16"/>
      <c r="I34" s="16"/>
      <c r="J34" s="16"/>
      <c r="K34" s="16"/>
      <c r="L34" s="16"/>
      <c r="M34" s="16"/>
      <c r="N34" s="18"/>
      <c r="O34" s="16"/>
      <c r="P34" s="16"/>
      <c r="Q34" s="18"/>
      <c r="R34" s="16"/>
      <c r="S34" s="16"/>
      <c r="T34" s="16"/>
      <c r="U34" s="16"/>
      <c r="V34" s="14">
        <v>0</v>
      </c>
      <c r="W34" s="14">
        <v>0</v>
      </c>
      <c r="X34" s="10">
        <v>0</v>
      </c>
    </row>
    <row r="35" spans="1:24" x14ac:dyDescent="0.3">
      <c r="A35" s="14">
        <v>34</v>
      </c>
      <c r="B35" s="14">
        <v>35</v>
      </c>
      <c r="C35" s="14" t="s">
        <v>31</v>
      </c>
      <c r="D35" s="16">
        <v>5</v>
      </c>
      <c r="E35" s="16">
        <v>7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4">
        <v>0</v>
      </c>
      <c r="W35" s="14">
        <v>0</v>
      </c>
      <c r="X35" s="10">
        <v>0</v>
      </c>
    </row>
    <row r="36" spans="1:24" x14ac:dyDescent="0.3">
      <c r="A36" s="14">
        <v>35</v>
      </c>
      <c r="B36" s="14">
        <v>36</v>
      </c>
      <c r="C36" s="14" t="s">
        <v>32</v>
      </c>
      <c r="D36" s="16">
        <v>0</v>
      </c>
      <c r="E36" s="16">
        <v>10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4">
        <v>0</v>
      </c>
      <c r="W36" s="14">
        <v>0</v>
      </c>
      <c r="X36" s="10">
        <v>0</v>
      </c>
    </row>
    <row r="37" spans="1:24" ht="12.75" customHeight="1" x14ac:dyDescent="0.4">
      <c r="A37" s="14">
        <v>36</v>
      </c>
      <c r="B37" s="14">
        <v>2</v>
      </c>
      <c r="C37" s="14" t="s">
        <v>14</v>
      </c>
      <c r="D37" s="16">
        <v>11</v>
      </c>
      <c r="E37" s="16">
        <v>7</v>
      </c>
      <c r="F37" s="16"/>
      <c r="G37" s="16"/>
      <c r="H37" s="16"/>
      <c r="I37" s="16"/>
      <c r="J37" s="16"/>
      <c r="K37" s="16"/>
      <c r="L37" s="16"/>
      <c r="M37" s="18"/>
      <c r="N37" s="16"/>
      <c r="O37" s="16"/>
      <c r="P37" s="16"/>
      <c r="Q37" s="16"/>
      <c r="R37" s="16"/>
      <c r="S37" s="16"/>
      <c r="T37" s="16"/>
      <c r="U37" s="16"/>
      <c r="V37" s="14"/>
      <c r="W37" s="14">
        <v>0</v>
      </c>
      <c r="X37" s="10">
        <v>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4621-BFED-4990-AE71-38F4A485F469}">
  <dimension ref="D5:AB30"/>
  <sheetViews>
    <sheetView tabSelected="1" workbookViewId="0"/>
  </sheetViews>
  <sheetFormatPr defaultColWidth="10.84375" defaultRowHeight="14.6" x14ac:dyDescent="0.4"/>
  <cols>
    <col min="1" max="3" width="7.84375" style="1" customWidth="1"/>
    <col min="4" max="4" width="9" style="1" customWidth="1"/>
    <col min="5" max="5" width="4.84375" style="1" bestFit="1" customWidth="1"/>
    <col min="6" max="6" width="3.4609375" style="2" customWidth="1"/>
    <col min="7" max="7" width="12.53515625" style="1" customWidth="1"/>
    <col min="8" max="8" width="3.4609375" style="2" customWidth="1"/>
    <col min="9" max="9" width="15" style="1" customWidth="1"/>
    <col min="10" max="18" width="2.84375" style="1" customWidth="1"/>
    <col min="19" max="27" width="3" style="1" customWidth="1"/>
    <col min="28" max="28" width="7.23046875" style="1" customWidth="1"/>
    <col min="29" max="256" width="10.84375" style="1"/>
    <col min="257" max="259" width="7.84375" style="1" customWidth="1"/>
    <col min="260" max="260" width="9" style="1" customWidth="1"/>
    <col min="261" max="261" width="4.84375" style="1" bestFit="1" customWidth="1"/>
    <col min="262" max="262" width="3.4609375" style="1" customWidth="1"/>
    <col min="263" max="263" width="12.53515625" style="1" customWidth="1"/>
    <col min="264" max="264" width="3.4609375" style="1" customWidth="1"/>
    <col min="265" max="265" width="15" style="1" customWidth="1"/>
    <col min="266" max="274" width="2.84375" style="1" customWidth="1"/>
    <col min="275" max="283" width="3" style="1" customWidth="1"/>
    <col min="284" max="284" width="7.23046875" style="1" customWidth="1"/>
    <col min="285" max="512" width="10.84375" style="1"/>
    <col min="513" max="515" width="7.84375" style="1" customWidth="1"/>
    <col min="516" max="516" width="9" style="1" customWidth="1"/>
    <col min="517" max="517" width="4.84375" style="1" bestFit="1" customWidth="1"/>
    <col min="518" max="518" width="3.4609375" style="1" customWidth="1"/>
    <col min="519" max="519" width="12.53515625" style="1" customWidth="1"/>
    <col min="520" max="520" width="3.4609375" style="1" customWidth="1"/>
    <col min="521" max="521" width="15" style="1" customWidth="1"/>
    <col min="522" max="530" width="2.84375" style="1" customWidth="1"/>
    <col min="531" max="539" width="3" style="1" customWidth="1"/>
    <col min="540" max="540" width="7.23046875" style="1" customWidth="1"/>
    <col min="541" max="768" width="10.84375" style="1"/>
    <col min="769" max="771" width="7.84375" style="1" customWidth="1"/>
    <col min="772" max="772" width="9" style="1" customWidth="1"/>
    <col min="773" max="773" width="4.84375" style="1" bestFit="1" customWidth="1"/>
    <col min="774" max="774" width="3.4609375" style="1" customWidth="1"/>
    <col min="775" max="775" width="12.53515625" style="1" customWidth="1"/>
    <col min="776" max="776" width="3.4609375" style="1" customWidth="1"/>
    <col min="777" max="777" width="15" style="1" customWidth="1"/>
    <col min="778" max="786" width="2.84375" style="1" customWidth="1"/>
    <col min="787" max="795" width="3" style="1" customWidth="1"/>
    <col min="796" max="796" width="7.23046875" style="1" customWidth="1"/>
    <col min="797" max="1024" width="10.84375" style="1"/>
    <col min="1025" max="1027" width="7.84375" style="1" customWidth="1"/>
    <col min="1028" max="1028" width="9" style="1" customWidth="1"/>
    <col min="1029" max="1029" width="4.84375" style="1" bestFit="1" customWidth="1"/>
    <col min="1030" max="1030" width="3.4609375" style="1" customWidth="1"/>
    <col min="1031" max="1031" width="12.53515625" style="1" customWidth="1"/>
    <col min="1032" max="1032" width="3.4609375" style="1" customWidth="1"/>
    <col min="1033" max="1033" width="15" style="1" customWidth="1"/>
    <col min="1034" max="1042" width="2.84375" style="1" customWidth="1"/>
    <col min="1043" max="1051" width="3" style="1" customWidth="1"/>
    <col min="1052" max="1052" width="7.23046875" style="1" customWidth="1"/>
    <col min="1053" max="1280" width="10.84375" style="1"/>
    <col min="1281" max="1283" width="7.84375" style="1" customWidth="1"/>
    <col min="1284" max="1284" width="9" style="1" customWidth="1"/>
    <col min="1285" max="1285" width="4.84375" style="1" bestFit="1" customWidth="1"/>
    <col min="1286" max="1286" width="3.4609375" style="1" customWidth="1"/>
    <col min="1287" max="1287" width="12.53515625" style="1" customWidth="1"/>
    <col min="1288" max="1288" width="3.4609375" style="1" customWidth="1"/>
    <col min="1289" max="1289" width="15" style="1" customWidth="1"/>
    <col min="1290" max="1298" width="2.84375" style="1" customWidth="1"/>
    <col min="1299" max="1307" width="3" style="1" customWidth="1"/>
    <col min="1308" max="1308" width="7.23046875" style="1" customWidth="1"/>
    <col min="1309" max="1536" width="10.84375" style="1"/>
    <col min="1537" max="1539" width="7.84375" style="1" customWidth="1"/>
    <col min="1540" max="1540" width="9" style="1" customWidth="1"/>
    <col min="1541" max="1541" width="4.84375" style="1" bestFit="1" customWidth="1"/>
    <col min="1542" max="1542" width="3.4609375" style="1" customWidth="1"/>
    <col min="1543" max="1543" width="12.53515625" style="1" customWidth="1"/>
    <col min="1544" max="1544" width="3.4609375" style="1" customWidth="1"/>
    <col min="1545" max="1545" width="15" style="1" customWidth="1"/>
    <col min="1546" max="1554" width="2.84375" style="1" customWidth="1"/>
    <col min="1555" max="1563" width="3" style="1" customWidth="1"/>
    <col min="1564" max="1564" width="7.23046875" style="1" customWidth="1"/>
    <col min="1565" max="1792" width="10.84375" style="1"/>
    <col min="1793" max="1795" width="7.84375" style="1" customWidth="1"/>
    <col min="1796" max="1796" width="9" style="1" customWidth="1"/>
    <col min="1797" max="1797" width="4.84375" style="1" bestFit="1" customWidth="1"/>
    <col min="1798" max="1798" width="3.4609375" style="1" customWidth="1"/>
    <col min="1799" max="1799" width="12.53515625" style="1" customWidth="1"/>
    <col min="1800" max="1800" width="3.4609375" style="1" customWidth="1"/>
    <col min="1801" max="1801" width="15" style="1" customWidth="1"/>
    <col min="1802" max="1810" width="2.84375" style="1" customWidth="1"/>
    <col min="1811" max="1819" width="3" style="1" customWidth="1"/>
    <col min="1820" max="1820" width="7.23046875" style="1" customWidth="1"/>
    <col min="1821" max="2048" width="10.84375" style="1"/>
    <col min="2049" max="2051" width="7.84375" style="1" customWidth="1"/>
    <col min="2052" max="2052" width="9" style="1" customWidth="1"/>
    <col min="2053" max="2053" width="4.84375" style="1" bestFit="1" customWidth="1"/>
    <col min="2054" max="2054" width="3.4609375" style="1" customWidth="1"/>
    <col min="2055" max="2055" width="12.53515625" style="1" customWidth="1"/>
    <col min="2056" max="2056" width="3.4609375" style="1" customWidth="1"/>
    <col min="2057" max="2057" width="15" style="1" customWidth="1"/>
    <col min="2058" max="2066" width="2.84375" style="1" customWidth="1"/>
    <col min="2067" max="2075" width="3" style="1" customWidth="1"/>
    <col min="2076" max="2076" width="7.23046875" style="1" customWidth="1"/>
    <col min="2077" max="2304" width="10.84375" style="1"/>
    <col min="2305" max="2307" width="7.84375" style="1" customWidth="1"/>
    <col min="2308" max="2308" width="9" style="1" customWidth="1"/>
    <col min="2309" max="2309" width="4.84375" style="1" bestFit="1" customWidth="1"/>
    <col min="2310" max="2310" width="3.4609375" style="1" customWidth="1"/>
    <col min="2311" max="2311" width="12.53515625" style="1" customWidth="1"/>
    <col min="2312" max="2312" width="3.4609375" style="1" customWidth="1"/>
    <col min="2313" max="2313" width="15" style="1" customWidth="1"/>
    <col min="2314" max="2322" width="2.84375" style="1" customWidth="1"/>
    <col min="2323" max="2331" width="3" style="1" customWidth="1"/>
    <col min="2332" max="2332" width="7.23046875" style="1" customWidth="1"/>
    <col min="2333" max="2560" width="10.84375" style="1"/>
    <col min="2561" max="2563" width="7.84375" style="1" customWidth="1"/>
    <col min="2564" max="2564" width="9" style="1" customWidth="1"/>
    <col min="2565" max="2565" width="4.84375" style="1" bestFit="1" customWidth="1"/>
    <col min="2566" max="2566" width="3.4609375" style="1" customWidth="1"/>
    <col min="2567" max="2567" width="12.53515625" style="1" customWidth="1"/>
    <col min="2568" max="2568" width="3.4609375" style="1" customWidth="1"/>
    <col min="2569" max="2569" width="15" style="1" customWidth="1"/>
    <col min="2570" max="2578" width="2.84375" style="1" customWidth="1"/>
    <col min="2579" max="2587" width="3" style="1" customWidth="1"/>
    <col min="2588" max="2588" width="7.23046875" style="1" customWidth="1"/>
    <col min="2589" max="2816" width="10.84375" style="1"/>
    <col min="2817" max="2819" width="7.84375" style="1" customWidth="1"/>
    <col min="2820" max="2820" width="9" style="1" customWidth="1"/>
    <col min="2821" max="2821" width="4.84375" style="1" bestFit="1" customWidth="1"/>
    <col min="2822" max="2822" width="3.4609375" style="1" customWidth="1"/>
    <col min="2823" max="2823" width="12.53515625" style="1" customWidth="1"/>
    <col min="2824" max="2824" width="3.4609375" style="1" customWidth="1"/>
    <col min="2825" max="2825" width="15" style="1" customWidth="1"/>
    <col min="2826" max="2834" width="2.84375" style="1" customWidth="1"/>
    <col min="2835" max="2843" width="3" style="1" customWidth="1"/>
    <col min="2844" max="2844" width="7.23046875" style="1" customWidth="1"/>
    <col min="2845" max="3072" width="10.84375" style="1"/>
    <col min="3073" max="3075" width="7.84375" style="1" customWidth="1"/>
    <col min="3076" max="3076" width="9" style="1" customWidth="1"/>
    <col min="3077" max="3077" width="4.84375" style="1" bestFit="1" customWidth="1"/>
    <col min="3078" max="3078" width="3.4609375" style="1" customWidth="1"/>
    <col min="3079" max="3079" width="12.53515625" style="1" customWidth="1"/>
    <col min="3080" max="3080" width="3.4609375" style="1" customWidth="1"/>
    <col min="3081" max="3081" width="15" style="1" customWidth="1"/>
    <col min="3082" max="3090" width="2.84375" style="1" customWidth="1"/>
    <col min="3091" max="3099" width="3" style="1" customWidth="1"/>
    <col min="3100" max="3100" width="7.23046875" style="1" customWidth="1"/>
    <col min="3101" max="3328" width="10.84375" style="1"/>
    <col min="3329" max="3331" width="7.84375" style="1" customWidth="1"/>
    <col min="3332" max="3332" width="9" style="1" customWidth="1"/>
    <col min="3333" max="3333" width="4.84375" style="1" bestFit="1" customWidth="1"/>
    <col min="3334" max="3334" width="3.4609375" style="1" customWidth="1"/>
    <col min="3335" max="3335" width="12.53515625" style="1" customWidth="1"/>
    <col min="3336" max="3336" width="3.4609375" style="1" customWidth="1"/>
    <col min="3337" max="3337" width="15" style="1" customWidth="1"/>
    <col min="3338" max="3346" width="2.84375" style="1" customWidth="1"/>
    <col min="3347" max="3355" width="3" style="1" customWidth="1"/>
    <col min="3356" max="3356" width="7.23046875" style="1" customWidth="1"/>
    <col min="3357" max="3584" width="10.84375" style="1"/>
    <col min="3585" max="3587" width="7.84375" style="1" customWidth="1"/>
    <col min="3588" max="3588" width="9" style="1" customWidth="1"/>
    <col min="3589" max="3589" width="4.84375" style="1" bestFit="1" customWidth="1"/>
    <col min="3590" max="3590" width="3.4609375" style="1" customWidth="1"/>
    <col min="3591" max="3591" width="12.53515625" style="1" customWidth="1"/>
    <col min="3592" max="3592" width="3.4609375" style="1" customWidth="1"/>
    <col min="3593" max="3593" width="15" style="1" customWidth="1"/>
    <col min="3594" max="3602" width="2.84375" style="1" customWidth="1"/>
    <col min="3603" max="3611" width="3" style="1" customWidth="1"/>
    <col min="3612" max="3612" width="7.23046875" style="1" customWidth="1"/>
    <col min="3613" max="3840" width="10.84375" style="1"/>
    <col min="3841" max="3843" width="7.84375" style="1" customWidth="1"/>
    <col min="3844" max="3844" width="9" style="1" customWidth="1"/>
    <col min="3845" max="3845" width="4.84375" style="1" bestFit="1" customWidth="1"/>
    <col min="3846" max="3846" width="3.4609375" style="1" customWidth="1"/>
    <col min="3847" max="3847" width="12.53515625" style="1" customWidth="1"/>
    <col min="3848" max="3848" width="3.4609375" style="1" customWidth="1"/>
    <col min="3849" max="3849" width="15" style="1" customWidth="1"/>
    <col min="3850" max="3858" width="2.84375" style="1" customWidth="1"/>
    <col min="3859" max="3867" width="3" style="1" customWidth="1"/>
    <col min="3868" max="3868" width="7.23046875" style="1" customWidth="1"/>
    <col min="3869" max="4096" width="10.84375" style="1"/>
    <col min="4097" max="4099" width="7.84375" style="1" customWidth="1"/>
    <col min="4100" max="4100" width="9" style="1" customWidth="1"/>
    <col min="4101" max="4101" width="4.84375" style="1" bestFit="1" customWidth="1"/>
    <col min="4102" max="4102" width="3.4609375" style="1" customWidth="1"/>
    <col min="4103" max="4103" width="12.53515625" style="1" customWidth="1"/>
    <col min="4104" max="4104" width="3.4609375" style="1" customWidth="1"/>
    <col min="4105" max="4105" width="15" style="1" customWidth="1"/>
    <col min="4106" max="4114" width="2.84375" style="1" customWidth="1"/>
    <col min="4115" max="4123" width="3" style="1" customWidth="1"/>
    <col min="4124" max="4124" width="7.23046875" style="1" customWidth="1"/>
    <col min="4125" max="4352" width="10.84375" style="1"/>
    <col min="4353" max="4355" width="7.84375" style="1" customWidth="1"/>
    <col min="4356" max="4356" width="9" style="1" customWidth="1"/>
    <col min="4357" max="4357" width="4.84375" style="1" bestFit="1" customWidth="1"/>
    <col min="4358" max="4358" width="3.4609375" style="1" customWidth="1"/>
    <col min="4359" max="4359" width="12.53515625" style="1" customWidth="1"/>
    <col min="4360" max="4360" width="3.4609375" style="1" customWidth="1"/>
    <col min="4361" max="4361" width="15" style="1" customWidth="1"/>
    <col min="4362" max="4370" width="2.84375" style="1" customWidth="1"/>
    <col min="4371" max="4379" width="3" style="1" customWidth="1"/>
    <col min="4380" max="4380" width="7.23046875" style="1" customWidth="1"/>
    <col min="4381" max="4608" width="10.84375" style="1"/>
    <col min="4609" max="4611" width="7.84375" style="1" customWidth="1"/>
    <col min="4612" max="4612" width="9" style="1" customWidth="1"/>
    <col min="4613" max="4613" width="4.84375" style="1" bestFit="1" customWidth="1"/>
    <col min="4614" max="4614" width="3.4609375" style="1" customWidth="1"/>
    <col min="4615" max="4615" width="12.53515625" style="1" customWidth="1"/>
    <col min="4616" max="4616" width="3.4609375" style="1" customWidth="1"/>
    <col min="4617" max="4617" width="15" style="1" customWidth="1"/>
    <col min="4618" max="4626" width="2.84375" style="1" customWidth="1"/>
    <col min="4627" max="4635" width="3" style="1" customWidth="1"/>
    <col min="4636" max="4636" width="7.23046875" style="1" customWidth="1"/>
    <col min="4637" max="4864" width="10.84375" style="1"/>
    <col min="4865" max="4867" width="7.84375" style="1" customWidth="1"/>
    <col min="4868" max="4868" width="9" style="1" customWidth="1"/>
    <col min="4869" max="4869" width="4.84375" style="1" bestFit="1" customWidth="1"/>
    <col min="4870" max="4870" width="3.4609375" style="1" customWidth="1"/>
    <col min="4871" max="4871" width="12.53515625" style="1" customWidth="1"/>
    <col min="4872" max="4872" width="3.4609375" style="1" customWidth="1"/>
    <col min="4873" max="4873" width="15" style="1" customWidth="1"/>
    <col min="4874" max="4882" width="2.84375" style="1" customWidth="1"/>
    <col min="4883" max="4891" width="3" style="1" customWidth="1"/>
    <col min="4892" max="4892" width="7.23046875" style="1" customWidth="1"/>
    <col min="4893" max="5120" width="10.84375" style="1"/>
    <col min="5121" max="5123" width="7.84375" style="1" customWidth="1"/>
    <col min="5124" max="5124" width="9" style="1" customWidth="1"/>
    <col min="5125" max="5125" width="4.84375" style="1" bestFit="1" customWidth="1"/>
    <col min="5126" max="5126" width="3.4609375" style="1" customWidth="1"/>
    <col min="5127" max="5127" width="12.53515625" style="1" customWidth="1"/>
    <col min="5128" max="5128" width="3.4609375" style="1" customWidth="1"/>
    <col min="5129" max="5129" width="15" style="1" customWidth="1"/>
    <col min="5130" max="5138" width="2.84375" style="1" customWidth="1"/>
    <col min="5139" max="5147" width="3" style="1" customWidth="1"/>
    <col min="5148" max="5148" width="7.23046875" style="1" customWidth="1"/>
    <col min="5149" max="5376" width="10.84375" style="1"/>
    <col min="5377" max="5379" width="7.84375" style="1" customWidth="1"/>
    <col min="5380" max="5380" width="9" style="1" customWidth="1"/>
    <col min="5381" max="5381" width="4.84375" style="1" bestFit="1" customWidth="1"/>
    <col min="5382" max="5382" width="3.4609375" style="1" customWidth="1"/>
    <col min="5383" max="5383" width="12.53515625" style="1" customWidth="1"/>
    <col min="5384" max="5384" width="3.4609375" style="1" customWidth="1"/>
    <col min="5385" max="5385" width="15" style="1" customWidth="1"/>
    <col min="5386" max="5394" width="2.84375" style="1" customWidth="1"/>
    <col min="5395" max="5403" width="3" style="1" customWidth="1"/>
    <col min="5404" max="5404" width="7.23046875" style="1" customWidth="1"/>
    <col min="5405" max="5632" width="10.84375" style="1"/>
    <col min="5633" max="5635" width="7.84375" style="1" customWidth="1"/>
    <col min="5636" max="5636" width="9" style="1" customWidth="1"/>
    <col min="5637" max="5637" width="4.84375" style="1" bestFit="1" customWidth="1"/>
    <col min="5638" max="5638" width="3.4609375" style="1" customWidth="1"/>
    <col min="5639" max="5639" width="12.53515625" style="1" customWidth="1"/>
    <col min="5640" max="5640" width="3.4609375" style="1" customWidth="1"/>
    <col min="5641" max="5641" width="15" style="1" customWidth="1"/>
    <col min="5642" max="5650" width="2.84375" style="1" customWidth="1"/>
    <col min="5651" max="5659" width="3" style="1" customWidth="1"/>
    <col min="5660" max="5660" width="7.23046875" style="1" customWidth="1"/>
    <col min="5661" max="5888" width="10.84375" style="1"/>
    <col min="5889" max="5891" width="7.84375" style="1" customWidth="1"/>
    <col min="5892" max="5892" width="9" style="1" customWidth="1"/>
    <col min="5893" max="5893" width="4.84375" style="1" bestFit="1" customWidth="1"/>
    <col min="5894" max="5894" width="3.4609375" style="1" customWidth="1"/>
    <col min="5895" max="5895" width="12.53515625" style="1" customWidth="1"/>
    <col min="5896" max="5896" width="3.4609375" style="1" customWidth="1"/>
    <col min="5897" max="5897" width="15" style="1" customWidth="1"/>
    <col min="5898" max="5906" width="2.84375" style="1" customWidth="1"/>
    <col min="5907" max="5915" width="3" style="1" customWidth="1"/>
    <col min="5916" max="5916" width="7.23046875" style="1" customWidth="1"/>
    <col min="5917" max="6144" width="10.84375" style="1"/>
    <col min="6145" max="6147" width="7.84375" style="1" customWidth="1"/>
    <col min="6148" max="6148" width="9" style="1" customWidth="1"/>
    <col min="6149" max="6149" width="4.84375" style="1" bestFit="1" customWidth="1"/>
    <col min="6150" max="6150" width="3.4609375" style="1" customWidth="1"/>
    <col min="6151" max="6151" width="12.53515625" style="1" customWidth="1"/>
    <col min="6152" max="6152" width="3.4609375" style="1" customWidth="1"/>
    <col min="6153" max="6153" width="15" style="1" customWidth="1"/>
    <col min="6154" max="6162" width="2.84375" style="1" customWidth="1"/>
    <col min="6163" max="6171" width="3" style="1" customWidth="1"/>
    <col min="6172" max="6172" width="7.23046875" style="1" customWidth="1"/>
    <col min="6173" max="6400" width="10.84375" style="1"/>
    <col min="6401" max="6403" width="7.84375" style="1" customWidth="1"/>
    <col min="6404" max="6404" width="9" style="1" customWidth="1"/>
    <col min="6405" max="6405" width="4.84375" style="1" bestFit="1" customWidth="1"/>
    <col min="6406" max="6406" width="3.4609375" style="1" customWidth="1"/>
    <col min="6407" max="6407" width="12.53515625" style="1" customWidth="1"/>
    <col min="6408" max="6408" width="3.4609375" style="1" customWidth="1"/>
    <col min="6409" max="6409" width="15" style="1" customWidth="1"/>
    <col min="6410" max="6418" width="2.84375" style="1" customWidth="1"/>
    <col min="6419" max="6427" width="3" style="1" customWidth="1"/>
    <col min="6428" max="6428" width="7.23046875" style="1" customWidth="1"/>
    <col min="6429" max="6656" width="10.84375" style="1"/>
    <col min="6657" max="6659" width="7.84375" style="1" customWidth="1"/>
    <col min="6660" max="6660" width="9" style="1" customWidth="1"/>
    <col min="6661" max="6661" width="4.84375" style="1" bestFit="1" customWidth="1"/>
    <col min="6662" max="6662" width="3.4609375" style="1" customWidth="1"/>
    <col min="6663" max="6663" width="12.53515625" style="1" customWidth="1"/>
    <col min="6664" max="6664" width="3.4609375" style="1" customWidth="1"/>
    <col min="6665" max="6665" width="15" style="1" customWidth="1"/>
    <col min="6666" max="6674" width="2.84375" style="1" customWidth="1"/>
    <col min="6675" max="6683" width="3" style="1" customWidth="1"/>
    <col min="6684" max="6684" width="7.23046875" style="1" customWidth="1"/>
    <col min="6685" max="6912" width="10.84375" style="1"/>
    <col min="6913" max="6915" width="7.84375" style="1" customWidth="1"/>
    <col min="6916" max="6916" width="9" style="1" customWidth="1"/>
    <col min="6917" max="6917" width="4.84375" style="1" bestFit="1" customWidth="1"/>
    <col min="6918" max="6918" width="3.4609375" style="1" customWidth="1"/>
    <col min="6919" max="6919" width="12.53515625" style="1" customWidth="1"/>
    <col min="6920" max="6920" width="3.4609375" style="1" customWidth="1"/>
    <col min="6921" max="6921" width="15" style="1" customWidth="1"/>
    <col min="6922" max="6930" width="2.84375" style="1" customWidth="1"/>
    <col min="6931" max="6939" width="3" style="1" customWidth="1"/>
    <col min="6940" max="6940" width="7.23046875" style="1" customWidth="1"/>
    <col min="6941" max="7168" width="10.84375" style="1"/>
    <col min="7169" max="7171" width="7.84375" style="1" customWidth="1"/>
    <col min="7172" max="7172" width="9" style="1" customWidth="1"/>
    <col min="7173" max="7173" width="4.84375" style="1" bestFit="1" customWidth="1"/>
    <col min="7174" max="7174" width="3.4609375" style="1" customWidth="1"/>
    <col min="7175" max="7175" width="12.53515625" style="1" customWidth="1"/>
    <col min="7176" max="7176" width="3.4609375" style="1" customWidth="1"/>
    <col min="7177" max="7177" width="15" style="1" customWidth="1"/>
    <col min="7178" max="7186" width="2.84375" style="1" customWidth="1"/>
    <col min="7187" max="7195" width="3" style="1" customWidth="1"/>
    <col min="7196" max="7196" width="7.23046875" style="1" customWidth="1"/>
    <col min="7197" max="7424" width="10.84375" style="1"/>
    <col min="7425" max="7427" width="7.84375" style="1" customWidth="1"/>
    <col min="7428" max="7428" width="9" style="1" customWidth="1"/>
    <col min="7429" max="7429" width="4.84375" style="1" bestFit="1" customWidth="1"/>
    <col min="7430" max="7430" width="3.4609375" style="1" customWidth="1"/>
    <col min="7431" max="7431" width="12.53515625" style="1" customWidth="1"/>
    <col min="7432" max="7432" width="3.4609375" style="1" customWidth="1"/>
    <col min="7433" max="7433" width="15" style="1" customWidth="1"/>
    <col min="7434" max="7442" width="2.84375" style="1" customWidth="1"/>
    <col min="7443" max="7451" width="3" style="1" customWidth="1"/>
    <col min="7452" max="7452" width="7.23046875" style="1" customWidth="1"/>
    <col min="7453" max="7680" width="10.84375" style="1"/>
    <col min="7681" max="7683" width="7.84375" style="1" customWidth="1"/>
    <col min="7684" max="7684" width="9" style="1" customWidth="1"/>
    <col min="7685" max="7685" width="4.84375" style="1" bestFit="1" customWidth="1"/>
    <col min="7686" max="7686" width="3.4609375" style="1" customWidth="1"/>
    <col min="7687" max="7687" width="12.53515625" style="1" customWidth="1"/>
    <col min="7688" max="7688" width="3.4609375" style="1" customWidth="1"/>
    <col min="7689" max="7689" width="15" style="1" customWidth="1"/>
    <col min="7690" max="7698" width="2.84375" style="1" customWidth="1"/>
    <col min="7699" max="7707" width="3" style="1" customWidth="1"/>
    <col min="7708" max="7708" width="7.23046875" style="1" customWidth="1"/>
    <col min="7709" max="7936" width="10.84375" style="1"/>
    <col min="7937" max="7939" width="7.84375" style="1" customWidth="1"/>
    <col min="7940" max="7940" width="9" style="1" customWidth="1"/>
    <col min="7941" max="7941" width="4.84375" style="1" bestFit="1" customWidth="1"/>
    <col min="7942" max="7942" width="3.4609375" style="1" customWidth="1"/>
    <col min="7943" max="7943" width="12.53515625" style="1" customWidth="1"/>
    <col min="7944" max="7944" width="3.4609375" style="1" customWidth="1"/>
    <col min="7945" max="7945" width="15" style="1" customWidth="1"/>
    <col min="7946" max="7954" width="2.84375" style="1" customWidth="1"/>
    <col min="7955" max="7963" width="3" style="1" customWidth="1"/>
    <col min="7964" max="7964" width="7.23046875" style="1" customWidth="1"/>
    <col min="7965" max="8192" width="10.84375" style="1"/>
    <col min="8193" max="8195" width="7.84375" style="1" customWidth="1"/>
    <col min="8196" max="8196" width="9" style="1" customWidth="1"/>
    <col min="8197" max="8197" width="4.84375" style="1" bestFit="1" customWidth="1"/>
    <col min="8198" max="8198" width="3.4609375" style="1" customWidth="1"/>
    <col min="8199" max="8199" width="12.53515625" style="1" customWidth="1"/>
    <col min="8200" max="8200" width="3.4609375" style="1" customWidth="1"/>
    <col min="8201" max="8201" width="15" style="1" customWidth="1"/>
    <col min="8202" max="8210" width="2.84375" style="1" customWidth="1"/>
    <col min="8211" max="8219" width="3" style="1" customWidth="1"/>
    <col min="8220" max="8220" width="7.23046875" style="1" customWidth="1"/>
    <col min="8221" max="8448" width="10.84375" style="1"/>
    <col min="8449" max="8451" width="7.84375" style="1" customWidth="1"/>
    <col min="8452" max="8452" width="9" style="1" customWidth="1"/>
    <col min="8453" max="8453" width="4.84375" style="1" bestFit="1" customWidth="1"/>
    <col min="8454" max="8454" width="3.4609375" style="1" customWidth="1"/>
    <col min="8455" max="8455" width="12.53515625" style="1" customWidth="1"/>
    <col min="8456" max="8456" width="3.4609375" style="1" customWidth="1"/>
    <col min="8457" max="8457" width="15" style="1" customWidth="1"/>
    <col min="8458" max="8466" width="2.84375" style="1" customWidth="1"/>
    <col min="8467" max="8475" width="3" style="1" customWidth="1"/>
    <col min="8476" max="8476" width="7.23046875" style="1" customWidth="1"/>
    <col min="8477" max="8704" width="10.84375" style="1"/>
    <col min="8705" max="8707" width="7.84375" style="1" customWidth="1"/>
    <col min="8708" max="8708" width="9" style="1" customWidth="1"/>
    <col min="8709" max="8709" width="4.84375" style="1" bestFit="1" customWidth="1"/>
    <col min="8710" max="8710" width="3.4609375" style="1" customWidth="1"/>
    <col min="8711" max="8711" width="12.53515625" style="1" customWidth="1"/>
    <col min="8712" max="8712" width="3.4609375" style="1" customWidth="1"/>
    <col min="8713" max="8713" width="15" style="1" customWidth="1"/>
    <col min="8714" max="8722" width="2.84375" style="1" customWidth="1"/>
    <col min="8723" max="8731" width="3" style="1" customWidth="1"/>
    <col min="8732" max="8732" width="7.23046875" style="1" customWidth="1"/>
    <col min="8733" max="8960" width="10.84375" style="1"/>
    <col min="8961" max="8963" width="7.84375" style="1" customWidth="1"/>
    <col min="8964" max="8964" width="9" style="1" customWidth="1"/>
    <col min="8965" max="8965" width="4.84375" style="1" bestFit="1" customWidth="1"/>
    <col min="8966" max="8966" width="3.4609375" style="1" customWidth="1"/>
    <col min="8967" max="8967" width="12.53515625" style="1" customWidth="1"/>
    <col min="8968" max="8968" width="3.4609375" style="1" customWidth="1"/>
    <col min="8969" max="8969" width="15" style="1" customWidth="1"/>
    <col min="8970" max="8978" width="2.84375" style="1" customWidth="1"/>
    <col min="8979" max="8987" width="3" style="1" customWidth="1"/>
    <col min="8988" max="8988" width="7.23046875" style="1" customWidth="1"/>
    <col min="8989" max="9216" width="10.84375" style="1"/>
    <col min="9217" max="9219" width="7.84375" style="1" customWidth="1"/>
    <col min="9220" max="9220" width="9" style="1" customWidth="1"/>
    <col min="9221" max="9221" width="4.84375" style="1" bestFit="1" customWidth="1"/>
    <col min="9222" max="9222" width="3.4609375" style="1" customWidth="1"/>
    <col min="9223" max="9223" width="12.53515625" style="1" customWidth="1"/>
    <col min="9224" max="9224" width="3.4609375" style="1" customWidth="1"/>
    <col min="9225" max="9225" width="15" style="1" customWidth="1"/>
    <col min="9226" max="9234" width="2.84375" style="1" customWidth="1"/>
    <col min="9235" max="9243" width="3" style="1" customWidth="1"/>
    <col min="9244" max="9244" width="7.23046875" style="1" customWidth="1"/>
    <col min="9245" max="9472" width="10.84375" style="1"/>
    <col min="9473" max="9475" width="7.84375" style="1" customWidth="1"/>
    <col min="9476" max="9476" width="9" style="1" customWidth="1"/>
    <col min="9477" max="9477" width="4.84375" style="1" bestFit="1" customWidth="1"/>
    <col min="9478" max="9478" width="3.4609375" style="1" customWidth="1"/>
    <col min="9479" max="9479" width="12.53515625" style="1" customWidth="1"/>
    <col min="9480" max="9480" width="3.4609375" style="1" customWidth="1"/>
    <col min="9481" max="9481" width="15" style="1" customWidth="1"/>
    <col min="9482" max="9490" width="2.84375" style="1" customWidth="1"/>
    <col min="9491" max="9499" width="3" style="1" customWidth="1"/>
    <col min="9500" max="9500" width="7.23046875" style="1" customWidth="1"/>
    <col min="9501" max="9728" width="10.84375" style="1"/>
    <col min="9729" max="9731" width="7.84375" style="1" customWidth="1"/>
    <col min="9732" max="9732" width="9" style="1" customWidth="1"/>
    <col min="9733" max="9733" width="4.84375" style="1" bestFit="1" customWidth="1"/>
    <col min="9734" max="9734" width="3.4609375" style="1" customWidth="1"/>
    <col min="9735" max="9735" width="12.53515625" style="1" customWidth="1"/>
    <col min="9736" max="9736" width="3.4609375" style="1" customWidth="1"/>
    <col min="9737" max="9737" width="15" style="1" customWidth="1"/>
    <col min="9738" max="9746" width="2.84375" style="1" customWidth="1"/>
    <col min="9747" max="9755" width="3" style="1" customWidth="1"/>
    <col min="9756" max="9756" width="7.23046875" style="1" customWidth="1"/>
    <col min="9757" max="9984" width="10.84375" style="1"/>
    <col min="9985" max="9987" width="7.84375" style="1" customWidth="1"/>
    <col min="9988" max="9988" width="9" style="1" customWidth="1"/>
    <col min="9989" max="9989" width="4.84375" style="1" bestFit="1" customWidth="1"/>
    <col min="9990" max="9990" width="3.4609375" style="1" customWidth="1"/>
    <col min="9991" max="9991" width="12.53515625" style="1" customWidth="1"/>
    <col min="9992" max="9992" width="3.4609375" style="1" customWidth="1"/>
    <col min="9993" max="9993" width="15" style="1" customWidth="1"/>
    <col min="9994" max="10002" width="2.84375" style="1" customWidth="1"/>
    <col min="10003" max="10011" width="3" style="1" customWidth="1"/>
    <col min="10012" max="10012" width="7.23046875" style="1" customWidth="1"/>
    <col min="10013" max="10240" width="10.84375" style="1"/>
    <col min="10241" max="10243" width="7.84375" style="1" customWidth="1"/>
    <col min="10244" max="10244" width="9" style="1" customWidth="1"/>
    <col min="10245" max="10245" width="4.84375" style="1" bestFit="1" customWidth="1"/>
    <col min="10246" max="10246" width="3.4609375" style="1" customWidth="1"/>
    <col min="10247" max="10247" width="12.53515625" style="1" customWidth="1"/>
    <col min="10248" max="10248" width="3.4609375" style="1" customWidth="1"/>
    <col min="10249" max="10249" width="15" style="1" customWidth="1"/>
    <col min="10250" max="10258" width="2.84375" style="1" customWidth="1"/>
    <col min="10259" max="10267" width="3" style="1" customWidth="1"/>
    <col min="10268" max="10268" width="7.23046875" style="1" customWidth="1"/>
    <col min="10269" max="10496" width="10.84375" style="1"/>
    <col min="10497" max="10499" width="7.84375" style="1" customWidth="1"/>
    <col min="10500" max="10500" width="9" style="1" customWidth="1"/>
    <col min="10501" max="10501" width="4.84375" style="1" bestFit="1" customWidth="1"/>
    <col min="10502" max="10502" width="3.4609375" style="1" customWidth="1"/>
    <col min="10503" max="10503" width="12.53515625" style="1" customWidth="1"/>
    <col min="10504" max="10504" width="3.4609375" style="1" customWidth="1"/>
    <col min="10505" max="10505" width="15" style="1" customWidth="1"/>
    <col min="10506" max="10514" width="2.84375" style="1" customWidth="1"/>
    <col min="10515" max="10523" width="3" style="1" customWidth="1"/>
    <col min="10524" max="10524" width="7.23046875" style="1" customWidth="1"/>
    <col min="10525" max="10752" width="10.84375" style="1"/>
    <col min="10753" max="10755" width="7.84375" style="1" customWidth="1"/>
    <col min="10756" max="10756" width="9" style="1" customWidth="1"/>
    <col min="10757" max="10757" width="4.84375" style="1" bestFit="1" customWidth="1"/>
    <col min="10758" max="10758" width="3.4609375" style="1" customWidth="1"/>
    <col min="10759" max="10759" width="12.53515625" style="1" customWidth="1"/>
    <col min="10760" max="10760" width="3.4609375" style="1" customWidth="1"/>
    <col min="10761" max="10761" width="15" style="1" customWidth="1"/>
    <col min="10762" max="10770" width="2.84375" style="1" customWidth="1"/>
    <col min="10771" max="10779" width="3" style="1" customWidth="1"/>
    <col min="10780" max="10780" width="7.23046875" style="1" customWidth="1"/>
    <col min="10781" max="11008" width="10.84375" style="1"/>
    <col min="11009" max="11011" width="7.84375" style="1" customWidth="1"/>
    <col min="11012" max="11012" width="9" style="1" customWidth="1"/>
    <col min="11013" max="11013" width="4.84375" style="1" bestFit="1" customWidth="1"/>
    <col min="11014" max="11014" width="3.4609375" style="1" customWidth="1"/>
    <col min="11015" max="11015" width="12.53515625" style="1" customWidth="1"/>
    <col min="11016" max="11016" width="3.4609375" style="1" customWidth="1"/>
    <col min="11017" max="11017" width="15" style="1" customWidth="1"/>
    <col min="11018" max="11026" width="2.84375" style="1" customWidth="1"/>
    <col min="11027" max="11035" width="3" style="1" customWidth="1"/>
    <col min="11036" max="11036" width="7.23046875" style="1" customWidth="1"/>
    <col min="11037" max="11264" width="10.84375" style="1"/>
    <col min="11265" max="11267" width="7.84375" style="1" customWidth="1"/>
    <col min="11268" max="11268" width="9" style="1" customWidth="1"/>
    <col min="11269" max="11269" width="4.84375" style="1" bestFit="1" customWidth="1"/>
    <col min="11270" max="11270" width="3.4609375" style="1" customWidth="1"/>
    <col min="11271" max="11271" width="12.53515625" style="1" customWidth="1"/>
    <col min="11272" max="11272" width="3.4609375" style="1" customWidth="1"/>
    <col min="11273" max="11273" width="15" style="1" customWidth="1"/>
    <col min="11274" max="11282" width="2.84375" style="1" customWidth="1"/>
    <col min="11283" max="11291" width="3" style="1" customWidth="1"/>
    <col min="11292" max="11292" width="7.23046875" style="1" customWidth="1"/>
    <col min="11293" max="11520" width="10.84375" style="1"/>
    <col min="11521" max="11523" width="7.84375" style="1" customWidth="1"/>
    <col min="11524" max="11524" width="9" style="1" customWidth="1"/>
    <col min="11525" max="11525" width="4.84375" style="1" bestFit="1" customWidth="1"/>
    <col min="11526" max="11526" width="3.4609375" style="1" customWidth="1"/>
    <col min="11527" max="11527" width="12.53515625" style="1" customWidth="1"/>
    <col min="11528" max="11528" width="3.4609375" style="1" customWidth="1"/>
    <col min="11529" max="11529" width="15" style="1" customWidth="1"/>
    <col min="11530" max="11538" width="2.84375" style="1" customWidth="1"/>
    <col min="11539" max="11547" width="3" style="1" customWidth="1"/>
    <col min="11548" max="11548" width="7.23046875" style="1" customWidth="1"/>
    <col min="11549" max="11776" width="10.84375" style="1"/>
    <col min="11777" max="11779" width="7.84375" style="1" customWidth="1"/>
    <col min="11780" max="11780" width="9" style="1" customWidth="1"/>
    <col min="11781" max="11781" width="4.84375" style="1" bestFit="1" customWidth="1"/>
    <col min="11782" max="11782" width="3.4609375" style="1" customWidth="1"/>
    <col min="11783" max="11783" width="12.53515625" style="1" customWidth="1"/>
    <col min="11784" max="11784" width="3.4609375" style="1" customWidth="1"/>
    <col min="11785" max="11785" width="15" style="1" customWidth="1"/>
    <col min="11786" max="11794" width="2.84375" style="1" customWidth="1"/>
    <col min="11795" max="11803" width="3" style="1" customWidth="1"/>
    <col min="11804" max="11804" width="7.23046875" style="1" customWidth="1"/>
    <col min="11805" max="12032" width="10.84375" style="1"/>
    <col min="12033" max="12035" width="7.84375" style="1" customWidth="1"/>
    <col min="12036" max="12036" width="9" style="1" customWidth="1"/>
    <col min="12037" max="12037" width="4.84375" style="1" bestFit="1" customWidth="1"/>
    <col min="12038" max="12038" width="3.4609375" style="1" customWidth="1"/>
    <col min="12039" max="12039" width="12.53515625" style="1" customWidth="1"/>
    <col min="12040" max="12040" width="3.4609375" style="1" customWidth="1"/>
    <col min="12041" max="12041" width="15" style="1" customWidth="1"/>
    <col min="12042" max="12050" width="2.84375" style="1" customWidth="1"/>
    <col min="12051" max="12059" width="3" style="1" customWidth="1"/>
    <col min="12060" max="12060" width="7.23046875" style="1" customWidth="1"/>
    <col min="12061" max="12288" width="10.84375" style="1"/>
    <col min="12289" max="12291" width="7.84375" style="1" customWidth="1"/>
    <col min="12292" max="12292" width="9" style="1" customWidth="1"/>
    <col min="12293" max="12293" width="4.84375" style="1" bestFit="1" customWidth="1"/>
    <col min="12294" max="12294" width="3.4609375" style="1" customWidth="1"/>
    <col min="12295" max="12295" width="12.53515625" style="1" customWidth="1"/>
    <col min="12296" max="12296" width="3.4609375" style="1" customWidth="1"/>
    <col min="12297" max="12297" width="15" style="1" customWidth="1"/>
    <col min="12298" max="12306" width="2.84375" style="1" customWidth="1"/>
    <col min="12307" max="12315" width="3" style="1" customWidth="1"/>
    <col min="12316" max="12316" width="7.23046875" style="1" customWidth="1"/>
    <col min="12317" max="12544" width="10.84375" style="1"/>
    <col min="12545" max="12547" width="7.84375" style="1" customWidth="1"/>
    <col min="12548" max="12548" width="9" style="1" customWidth="1"/>
    <col min="12549" max="12549" width="4.84375" style="1" bestFit="1" customWidth="1"/>
    <col min="12550" max="12550" width="3.4609375" style="1" customWidth="1"/>
    <col min="12551" max="12551" width="12.53515625" style="1" customWidth="1"/>
    <col min="12552" max="12552" width="3.4609375" style="1" customWidth="1"/>
    <col min="12553" max="12553" width="15" style="1" customWidth="1"/>
    <col min="12554" max="12562" width="2.84375" style="1" customWidth="1"/>
    <col min="12563" max="12571" width="3" style="1" customWidth="1"/>
    <col min="12572" max="12572" width="7.23046875" style="1" customWidth="1"/>
    <col min="12573" max="12800" width="10.84375" style="1"/>
    <col min="12801" max="12803" width="7.84375" style="1" customWidth="1"/>
    <col min="12804" max="12804" width="9" style="1" customWidth="1"/>
    <col min="12805" max="12805" width="4.84375" style="1" bestFit="1" customWidth="1"/>
    <col min="12806" max="12806" width="3.4609375" style="1" customWidth="1"/>
    <col min="12807" max="12807" width="12.53515625" style="1" customWidth="1"/>
    <col min="12808" max="12808" width="3.4609375" style="1" customWidth="1"/>
    <col min="12809" max="12809" width="15" style="1" customWidth="1"/>
    <col min="12810" max="12818" width="2.84375" style="1" customWidth="1"/>
    <col min="12819" max="12827" width="3" style="1" customWidth="1"/>
    <col min="12828" max="12828" width="7.23046875" style="1" customWidth="1"/>
    <col min="12829" max="13056" width="10.84375" style="1"/>
    <col min="13057" max="13059" width="7.84375" style="1" customWidth="1"/>
    <col min="13060" max="13060" width="9" style="1" customWidth="1"/>
    <col min="13061" max="13061" width="4.84375" style="1" bestFit="1" customWidth="1"/>
    <col min="13062" max="13062" width="3.4609375" style="1" customWidth="1"/>
    <col min="13063" max="13063" width="12.53515625" style="1" customWidth="1"/>
    <col min="13064" max="13064" width="3.4609375" style="1" customWidth="1"/>
    <col min="13065" max="13065" width="15" style="1" customWidth="1"/>
    <col min="13066" max="13074" width="2.84375" style="1" customWidth="1"/>
    <col min="13075" max="13083" width="3" style="1" customWidth="1"/>
    <col min="13084" max="13084" width="7.23046875" style="1" customWidth="1"/>
    <col min="13085" max="13312" width="10.84375" style="1"/>
    <col min="13313" max="13315" width="7.84375" style="1" customWidth="1"/>
    <col min="13316" max="13316" width="9" style="1" customWidth="1"/>
    <col min="13317" max="13317" width="4.84375" style="1" bestFit="1" customWidth="1"/>
    <col min="13318" max="13318" width="3.4609375" style="1" customWidth="1"/>
    <col min="13319" max="13319" width="12.53515625" style="1" customWidth="1"/>
    <col min="13320" max="13320" width="3.4609375" style="1" customWidth="1"/>
    <col min="13321" max="13321" width="15" style="1" customWidth="1"/>
    <col min="13322" max="13330" width="2.84375" style="1" customWidth="1"/>
    <col min="13331" max="13339" width="3" style="1" customWidth="1"/>
    <col min="13340" max="13340" width="7.23046875" style="1" customWidth="1"/>
    <col min="13341" max="13568" width="10.84375" style="1"/>
    <col min="13569" max="13571" width="7.84375" style="1" customWidth="1"/>
    <col min="13572" max="13572" width="9" style="1" customWidth="1"/>
    <col min="13573" max="13573" width="4.84375" style="1" bestFit="1" customWidth="1"/>
    <col min="13574" max="13574" width="3.4609375" style="1" customWidth="1"/>
    <col min="13575" max="13575" width="12.53515625" style="1" customWidth="1"/>
    <col min="13576" max="13576" width="3.4609375" style="1" customWidth="1"/>
    <col min="13577" max="13577" width="15" style="1" customWidth="1"/>
    <col min="13578" max="13586" width="2.84375" style="1" customWidth="1"/>
    <col min="13587" max="13595" width="3" style="1" customWidth="1"/>
    <col min="13596" max="13596" width="7.23046875" style="1" customWidth="1"/>
    <col min="13597" max="13824" width="10.84375" style="1"/>
    <col min="13825" max="13827" width="7.84375" style="1" customWidth="1"/>
    <col min="13828" max="13828" width="9" style="1" customWidth="1"/>
    <col min="13829" max="13829" width="4.84375" style="1" bestFit="1" customWidth="1"/>
    <col min="13830" max="13830" width="3.4609375" style="1" customWidth="1"/>
    <col min="13831" max="13831" width="12.53515625" style="1" customWidth="1"/>
    <col min="13832" max="13832" width="3.4609375" style="1" customWidth="1"/>
    <col min="13833" max="13833" width="15" style="1" customWidth="1"/>
    <col min="13834" max="13842" width="2.84375" style="1" customWidth="1"/>
    <col min="13843" max="13851" width="3" style="1" customWidth="1"/>
    <col min="13852" max="13852" width="7.23046875" style="1" customWidth="1"/>
    <col min="13853" max="14080" width="10.84375" style="1"/>
    <col min="14081" max="14083" width="7.84375" style="1" customWidth="1"/>
    <col min="14084" max="14084" width="9" style="1" customWidth="1"/>
    <col min="14085" max="14085" width="4.84375" style="1" bestFit="1" customWidth="1"/>
    <col min="14086" max="14086" width="3.4609375" style="1" customWidth="1"/>
    <col min="14087" max="14087" width="12.53515625" style="1" customWidth="1"/>
    <col min="14088" max="14088" width="3.4609375" style="1" customWidth="1"/>
    <col min="14089" max="14089" width="15" style="1" customWidth="1"/>
    <col min="14090" max="14098" width="2.84375" style="1" customWidth="1"/>
    <col min="14099" max="14107" width="3" style="1" customWidth="1"/>
    <col min="14108" max="14108" width="7.23046875" style="1" customWidth="1"/>
    <col min="14109" max="14336" width="10.84375" style="1"/>
    <col min="14337" max="14339" width="7.84375" style="1" customWidth="1"/>
    <col min="14340" max="14340" width="9" style="1" customWidth="1"/>
    <col min="14341" max="14341" width="4.84375" style="1" bestFit="1" customWidth="1"/>
    <col min="14342" max="14342" width="3.4609375" style="1" customWidth="1"/>
    <col min="14343" max="14343" width="12.53515625" style="1" customWidth="1"/>
    <col min="14344" max="14344" width="3.4609375" style="1" customWidth="1"/>
    <col min="14345" max="14345" width="15" style="1" customWidth="1"/>
    <col min="14346" max="14354" width="2.84375" style="1" customWidth="1"/>
    <col min="14355" max="14363" width="3" style="1" customWidth="1"/>
    <col min="14364" max="14364" width="7.23046875" style="1" customWidth="1"/>
    <col min="14365" max="14592" width="10.84375" style="1"/>
    <col min="14593" max="14595" width="7.84375" style="1" customWidth="1"/>
    <col min="14596" max="14596" width="9" style="1" customWidth="1"/>
    <col min="14597" max="14597" width="4.84375" style="1" bestFit="1" customWidth="1"/>
    <col min="14598" max="14598" width="3.4609375" style="1" customWidth="1"/>
    <col min="14599" max="14599" width="12.53515625" style="1" customWidth="1"/>
    <col min="14600" max="14600" width="3.4609375" style="1" customWidth="1"/>
    <col min="14601" max="14601" width="15" style="1" customWidth="1"/>
    <col min="14602" max="14610" width="2.84375" style="1" customWidth="1"/>
    <col min="14611" max="14619" width="3" style="1" customWidth="1"/>
    <col min="14620" max="14620" width="7.23046875" style="1" customWidth="1"/>
    <col min="14621" max="14848" width="10.84375" style="1"/>
    <col min="14849" max="14851" width="7.84375" style="1" customWidth="1"/>
    <col min="14852" max="14852" width="9" style="1" customWidth="1"/>
    <col min="14853" max="14853" width="4.84375" style="1" bestFit="1" customWidth="1"/>
    <col min="14854" max="14854" width="3.4609375" style="1" customWidth="1"/>
    <col min="14855" max="14855" width="12.53515625" style="1" customWidth="1"/>
    <col min="14856" max="14856" width="3.4609375" style="1" customWidth="1"/>
    <col min="14857" max="14857" width="15" style="1" customWidth="1"/>
    <col min="14858" max="14866" width="2.84375" style="1" customWidth="1"/>
    <col min="14867" max="14875" width="3" style="1" customWidth="1"/>
    <col min="14876" max="14876" width="7.23046875" style="1" customWidth="1"/>
    <col min="14877" max="15104" width="10.84375" style="1"/>
    <col min="15105" max="15107" width="7.84375" style="1" customWidth="1"/>
    <col min="15108" max="15108" width="9" style="1" customWidth="1"/>
    <col min="15109" max="15109" width="4.84375" style="1" bestFit="1" customWidth="1"/>
    <col min="15110" max="15110" width="3.4609375" style="1" customWidth="1"/>
    <col min="15111" max="15111" width="12.53515625" style="1" customWidth="1"/>
    <col min="15112" max="15112" width="3.4609375" style="1" customWidth="1"/>
    <col min="15113" max="15113" width="15" style="1" customWidth="1"/>
    <col min="15114" max="15122" width="2.84375" style="1" customWidth="1"/>
    <col min="15123" max="15131" width="3" style="1" customWidth="1"/>
    <col min="15132" max="15132" width="7.23046875" style="1" customWidth="1"/>
    <col min="15133" max="15360" width="10.84375" style="1"/>
    <col min="15361" max="15363" width="7.84375" style="1" customWidth="1"/>
    <col min="15364" max="15364" width="9" style="1" customWidth="1"/>
    <col min="15365" max="15365" width="4.84375" style="1" bestFit="1" customWidth="1"/>
    <col min="15366" max="15366" width="3.4609375" style="1" customWidth="1"/>
    <col min="15367" max="15367" width="12.53515625" style="1" customWidth="1"/>
    <col min="15368" max="15368" width="3.4609375" style="1" customWidth="1"/>
    <col min="15369" max="15369" width="15" style="1" customWidth="1"/>
    <col min="15370" max="15378" width="2.84375" style="1" customWidth="1"/>
    <col min="15379" max="15387" width="3" style="1" customWidth="1"/>
    <col min="15388" max="15388" width="7.23046875" style="1" customWidth="1"/>
    <col min="15389" max="15616" width="10.84375" style="1"/>
    <col min="15617" max="15619" width="7.84375" style="1" customWidth="1"/>
    <col min="15620" max="15620" width="9" style="1" customWidth="1"/>
    <col min="15621" max="15621" width="4.84375" style="1" bestFit="1" customWidth="1"/>
    <col min="15622" max="15622" width="3.4609375" style="1" customWidth="1"/>
    <col min="15623" max="15623" width="12.53515625" style="1" customWidth="1"/>
    <col min="15624" max="15624" width="3.4609375" style="1" customWidth="1"/>
    <col min="15625" max="15625" width="15" style="1" customWidth="1"/>
    <col min="15626" max="15634" width="2.84375" style="1" customWidth="1"/>
    <col min="15635" max="15643" width="3" style="1" customWidth="1"/>
    <col min="15644" max="15644" width="7.23046875" style="1" customWidth="1"/>
    <col min="15645" max="15872" width="10.84375" style="1"/>
    <col min="15873" max="15875" width="7.84375" style="1" customWidth="1"/>
    <col min="15876" max="15876" width="9" style="1" customWidth="1"/>
    <col min="15877" max="15877" width="4.84375" style="1" bestFit="1" customWidth="1"/>
    <col min="15878" max="15878" width="3.4609375" style="1" customWidth="1"/>
    <col min="15879" max="15879" width="12.53515625" style="1" customWidth="1"/>
    <col min="15880" max="15880" width="3.4609375" style="1" customWidth="1"/>
    <col min="15881" max="15881" width="15" style="1" customWidth="1"/>
    <col min="15882" max="15890" width="2.84375" style="1" customWidth="1"/>
    <col min="15891" max="15899" width="3" style="1" customWidth="1"/>
    <col min="15900" max="15900" width="7.23046875" style="1" customWidth="1"/>
    <col min="15901" max="16128" width="10.84375" style="1"/>
    <col min="16129" max="16131" width="7.84375" style="1" customWidth="1"/>
    <col min="16132" max="16132" width="9" style="1" customWidth="1"/>
    <col min="16133" max="16133" width="4.84375" style="1" bestFit="1" customWidth="1"/>
    <col min="16134" max="16134" width="3.4609375" style="1" customWidth="1"/>
    <col min="16135" max="16135" width="12.53515625" style="1" customWidth="1"/>
    <col min="16136" max="16136" width="3.4609375" style="1" customWidth="1"/>
    <col min="16137" max="16137" width="15" style="1" customWidth="1"/>
    <col min="16138" max="16146" width="2.84375" style="1" customWidth="1"/>
    <col min="16147" max="16155" width="3" style="1" customWidth="1"/>
    <col min="16156" max="16156" width="7.23046875" style="1" customWidth="1"/>
    <col min="16157" max="16384" width="10.84375" style="1"/>
  </cols>
  <sheetData>
    <row r="5" spans="4:28" x14ac:dyDescent="0.4"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</row>
    <row r="7" spans="4:28" ht="15" thickBot="1" x14ac:dyDescent="0.45"/>
    <row r="8" spans="4:28" ht="15" thickBot="1" x14ac:dyDescent="0.45">
      <c r="D8" s="3" t="s">
        <v>0</v>
      </c>
      <c r="E8" s="3" t="s">
        <v>0</v>
      </c>
      <c r="F8" s="88" t="s">
        <v>1</v>
      </c>
      <c r="G8" s="89"/>
      <c r="H8" s="88" t="s">
        <v>2</v>
      </c>
      <c r="I8" s="89"/>
      <c r="J8" s="90" t="s">
        <v>3</v>
      </c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2"/>
      <c r="AA8" s="4"/>
      <c r="AB8" s="3" t="s">
        <v>4</v>
      </c>
    </row>
    <row r="9" spans="4:28" ht="15" thickBot="1" x14ac:dyDescent="0.45">
      <c r="D9" s="5" t="s">
        <v>5</v>
      </c>
      <c r="E9" s="5" t="s">
        <v>6</v>
      </c>
      <c r="F9" s="5" t="s">
        <v>6</v>
      </c>
      <c r="G9" s="6" t="s">
        <v>7</v>
      </c>
      <c r="H9" s="5" t="s">
        <v>6</v>
      </c>
      <c r="I9" s="5" t="s">
        <v>7</v>
      </c>
      <c r="J9" s="5">
        <v>1</v>
      </c>
      <c r="K9" s="5">
        <v>2</v>
      </c>
      <c r="L9" s="5">
        <v>3</v>
      </c>
      <c r="M9" s="5">
        <v>4</v>
      </c>
      <c r="N9" s="5">
        <v>5</v>
      </c>
      <c r="O9" s="5">
        <v>6</v>
      </c>
      <c r="P9" s="5">
        <v>7</v>
      </c>
      <c r="Q9" s="5">
        <v>8</v>
      </c>
      <c r="R9" s="5">
        <v>9</v>
      </c>
      <c r="S9" s="5">
        <v>10</v>
      </c>
      <c r="T9" s="5">
        <v>11</v>
      </c>
      <c r="U9" s="5">
        <v>12</v>
      </c>
      <c r="V9" s="5">
        <v>13</v>
      </c>
      <c r="W9" s="5">
        <v>14</v>
      </c>
      <c r="X9" s="5">
        <v>15</v>
      </c>
      <c r="Y9" s="5">
        <v>16</v>
      </c>
      <c r="Z9" s="5">
        <v>17</v>
      </c>
      <c r="AA9" s="5">
        <v>18</v>
      </c>
      <c r="AB9" s="5" t="s">
        <v>8</v>
      </c>
    </row>
    <row r="10" spans="4:28" ht="15" thickBot="1" x14ac:dyDescent="0.45">
      <c r="D10" s="7">
        <v>1</v>
      </c>
      <c r="E10" s="7">
        <v>11</v>
      </c>
      <c r="F10" s="7">
        <v>21</v>
      </c>
      <c r="G10" s="7" t="s">
        <v>9</v>
      </c>
      <c r="H10" s="7">
        <v>22</v>
      </c>
      <c r="I10" s="7" t="s">
        <v>10</v>
      </c>
      <c r="J10" s="7">
        <v>12</v>
      </c>
      <c r="K10" s="7">
        <v>16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>
        <v>28</v>
      </c>
    </row>
    <row r="11" spans="4:28" ht="15" thickBot="1" x14ac:dyDescent="0.45">
      <c r="D11" s="7">
        <v>2</v>
      </c>
      <c r="E11" s="7">
        <v>12</v>
      </c>
      <c r="F11" s="7">
        <v>23</v>
      </c>
      <c r="G11" s="7" t="s">
        <v>11</v>
      </c>
      <c r="H11" s="7">
        <v>24</v>
      </c>
      <c r="I11" s="7" t="s">
        <v>12</v>
      </c>
      <c r="J11" s="7">
        <v>12</v>
      </c>
      <c r="K11" s="7">
        <v>14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>
        <v>26</v>
      </c>
    </row>
    <row r="12" spans="4:28" ht="15" thickBot="1" x14ac:dyDescent="0.45">
      <c r="D12" s="7">
        <v>3</v>
      </c>
      <c r="E12" s="7">
        <v>1</v>
      </c>
      <c r="F12" s="7">
        <v>1</v>
      </c>
      <c r="G12" s="7" t="s">
        <v>13</v>
      </c>
      <c r="H12" s="7">
        <v>2</v>
      </c>
      <c r="I12" s="7" t="s">
        <v>14</v>
      </c>
      <c r="J12" s="7">
        <v>16</v>
      </c>
      <c r="K12" s="7">
        <v>8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>
        <v>24</v>
      </c>
    </row>
    <row r="13" spans="4:28" ht="15" thickBot="1" x14ac:dyDescent="0.45">
      <c r="D13" s="7">
        <v>4</v>
      </c>
      <c r="E13" s="7">
        <v>16</v>
      </c>
      <c r="F13" s="7">
        <v>31</v>
      </c>
      <c r="G13" s="7" t="s">
        <v>15</v>
      </c>
      <c r="H13" s="7">
        <v>32</v>
      </c>
      <c r="I13" s="7" t="s">
        <v>16</v>
      </c>
      <c r="J13" s="7">
        <v>12</v>
      </c>
      <c r="K13" s="7">
        <v>12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>
        <v>24</v>
      </c>
    </row>
    <row r="14" spans="4:28" ht="15" thickBot="1" x14ac:dyDescent="0.45">
      <c r="D14" s="7">
        <v>5</v>
      </c>
      <c r="E14" s="7">
        <v>10</v>
      </c>
      <c r="F14" s="7">
        <v>19</v>
      </c>
      <c r="G14" s="7" t="s">
        <v>17</v>
      </c>
      <c r="H14" s="7">
        <v>20</v>
      </c>
      <c r="I14" s="7" t="s">
        <v>18</v>
      </c>
      <c r="J14" s="7">
        <v>6</v>
      </c>
      <c r="K14" s="7">
        <v>14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>
        <v>20</v>
      </c>
    </row>
    <row r="15" spans="4:28" ht="15" thickBot="1" x14ac:dyDescent="0.45">
      <c r="D15" s="7">
        <v>6</v>
      </c>
      <c r="E15" s="7">
        <v>14</v>
      </c>
      <c r="F15" s="7">
        <v>27</v>
      </c>
      <c r="G15" s="7" t="s">
        <v>19</v>
      </c>
      <c r="H15" s="7">
        <v>28</v>
      </c>
      <c r="I15" s="7" t="s">
        <v>20</v>
      </c>
      <c r="J15" s="7">
        <v>15</v>
      </c>
      <c r="K15" s="7">
        <v>4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>
        <v>19</v>
      </c>
    </row>
    <row r="16" spans="4:28" ht="15" thickBot="1" x14ac:dyDescent="0.45">
      <c r="D16" s="7">
        <v>7</v>
      </c>
      <c r="E16" s="7">
        <v>2</v>
      </c>
      <c r="F16" s="7">
        <v>3</v>
      </c>
      <c r="G16" s="7" t="s">
        <v>21</v>
      </c>
      <c r="H16" s="7">
        <v>4</v>
      </c>
      <c r="I16" s="7" t="s">
        <v>22</v>
      </c>
      <c r="J16" s="7">
        <v>16</v>
      </c>
      <c r="K16" s="7">
        <v>2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>
        <v>18</v>
      </c>
    </row>
    <row r="17" spans="4:28" ht="15" thickBot="1" x14ac:dyDescent="0.45">
      <c r="D17" s="7">
        <v>8</v>
      </c>
      <c r="E17" s="7">
        <v>17</v>
      </c>
      <c r="F17" s="7">
        <v>33</v>
      </c>
      <c r="G17" s="7" t="s">
        <v>23</v>
      </c>
      <c r="H17" s="7">
        <v>34</v>
      </c>
      <c r="I17" s="7" t="s">
        <v>24</v>
      </c>
      <c r="J17" s="7">
        <v>6</v>
      </c>
      <c r="K17" s="7">
        <v>8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>
        <v>14</v>
      </c>
    </row>
    <row r="18" spans="4:28" ht="15" thickBot="1" x14ac:dyDescent="0.45">
      <c r="D18" s="8">
        <v>9</v>
      </c>
      <c r="E18" s="8">
        <v>9</v>
      </c>
      <c r="F18" s="8">
        <v>17</v>
      </c>
      <c r="G18" s="8" t="s">
        <v>25</v>
      </c>
      <c r="H18" s="8">
        <v>18</v>
      </c>
      <c r="I18" s="8" t="s">
        <v>26</v>
      </c>
      <c r="J18" s="8">
        <v>12</v>
      </c>
      <c r="K18" s="8">
        <v>0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>
        <v>12</v>
      </c>
    </row>
    <row r="19" spans="4:28" ht="15" thickBot="1" x14ac:dyDescent="0.45">
      <c r="D19" s="8">
        <v>10</v>
      </c>
      <c r="E19" s="8">
        <v>13</v>
      </c>
      <c r="F19" s="8">
        <v>25</v>
      </c>
      <c r="G19" s="8" t="s">
        <v>27</v>
      </c>
      <c r="H19" s="8">
        <v>26</v>
      </c>
      <c r="I19" s="8" t="s">
        <v>28</v>
      </c>
      <c r="J19" s="8">
        <v>12</v>
      </c>
      <c r="K19" s="8">
        <v>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>
        <v>12</v>
      </c>
    </row>
    <row r="20" spans="4:28" ht="15" thickBot="1" x14ac:dyDescent="0.45">
      <c r="D20" s="8">
        <v>11</v>
      </c>
      <c r="E20" s="8">
        <v>7</v>
      </c>
      <c r="F20" s="8">
        <v>13</v>
      </c>
      <c r="G20" s="8" t="s">
        <v>29</v>
      </c>
      <c r="H20" s="8">
        <v>14</v>
      </c>
      <c r="I20" s="8" t="s">
        <v>30</v>
      </c>
      <c r="J20" s="8">
        <v>2</v>
      </c>
      <c r="K20" s="8">
        <v>8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>
        <v>10</v>
      </c>
    </row>
    <row r="21" spans="4:28" ht="15" thickBot="1" x14ac:dyDescent="0.45">
      <c r="D21" s="8">
        <v>12</v>
      </c>
      <c r="E21" s="8">
        <v>18</v>
      </c>
      <c r="F21" s="8">
        <v>35</v>
      </c>
      <c r="G21" s="8" t="s">
        <v>31</v>
      </c>
      <c r="H21" s="8">
        <v>36</v>
      </c>
      <c r="I21" s="8" t="s">
        <v>32</v>
      </c>
      <c r="J21" s="8">
        <v>0</v>
      </c>
      <c r="K21" s="8">
        <v>10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>
        <v>10</v>
      </c>
    </row>
    <row r="22" spans="4:28" ht="15" thickBot="1" x14ac:dyDescent="0.45">
      <c r="D22" s="8">
        <v>13</v>
      </c>
      <c r="E22" s="8">
        <v>3</v>
      </c>
      <c r="F22" s="8">
        <v>5</v>
      </c>
      <c r="G22" s="8" t="s">
        <v>33</v>
      </c>
      <c r="H22" s="8">
        <v>6</v>
      </c>
      <c r="I22" s="8" t="s">
        <v>34</v>
      </c>
      <c r="J22" s="8">
        <v>9</v>
      </c>
      <c r="K22" s="8">
        <v>0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>
        <v>9</v>
      </c>
    </row>
    <row r="23" spans="4:28" ht="15" thickBot="1" x14ac:dyDescent="0.45">
      <c r="D23" s="8">
        <v>14</v>
      </c>
      <c r="E23" s="8">
        <v>6</v>
      </c>
      <c r="F23" s="8">
        <v>11</v>
      </c>
      <c r="G23" s="8" t="s">
        <v>35</v>
      </c>
      <c r="H23" s="8">
        <v>12</v>
      </c>
      <c r="I23" s="8" t="s">
        <v>36</v>
      </c>
      <c r="J23" s="8">
        <v>1</v>
      </c>
      <c r="K23" s="8">
        <v>8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>
        <v>9</v>
      </c>
    </row>
    <row r="24" spans="4:28" ht="15" thickBot="1" x14ac:dyDescent="0.45">
      <c r="D24" s="8">
        <v>15</v>
      </c>
      <c r="E24" s="8">
        <v>4</v>
      </c>
      <c r="F24" s="8">
        <v>7</v>
      </c>
      <c r="G24" s="8" t="s">
        <v>37</v>
      </c>
      <c r="H24" s="8">
        <v>8</v>
      </c>
      <c r="I24" s="8" t="s">
        <v>38</v>
      </c>
      <c r="J24" s="8">
        <v>0</v>
      </c>
      <c r="K24" s="8">
        <v>8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>
        <v>8</v>
      </c>
    </row>
    <row r="25" spans="4:28" ht="15" thickBot="1" x14ac:dyDescent="0.45">
      <c r="D25" s="8">
        <v>16</v>
      </c>
      <c r="E25" s="8">
        <v>15</v>
      </c>
      <c r="F25" s="8">
        <v>29</v>
      </c>
      <c r="G25" s="8" t="s">
        <v>39</v>
      </c>
      <c r="H25" s="8">
        <v>30</v>
      </c>
      <c r="I25" s="8" t="s">
        <v>40</v>
      </c>
      <c r="J25" s="8">
        <v>3</v>
      </c>
      <c r="K25" s="8">
        <v>4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>
        <v>7</v>
      </c>
    </row>
    <row r="26" spans="4:28" ht="15" thickBot="1" x14ac:dyDescent="0.45">
      <c r="D26" s="8">
        <v>17</v>
      </c>
      <c r="E26" s="8">
        <v>5</v>
      </c>
      <c r="F26" s="8">
        <v>9</v>
      </c>
      <c r="G26" s="8" t="s">
        <v>41</v>
      </c>
      <c r="H26" s="8">
        <v>10</v>
      </c>
      <c r="I26" s="8" t="s">
        <v>42</v>
      </c>
      <c r="J26" s="8">
        <v>0</v>
      </c>
      <c r="K26" s="8">
        <v>2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>
        <v>2</v>
      </c>
    </row>
    <row r="27" spans="4:28" x14ac:dyDescent="0.4">
      <c r="D27" s="8">
        <v>18</v>
      </c>
      <c r="E27" s="8">
        <v>8</v>
      </c>
      <c r="F27" s="8">
        <v>15</v>
      </c>
      <c r="G27" s="8" t="s">
        <v>43</v>
      </c>
      <c r="H27" s="8">
        <v>16</v>
      </c>
      <c r="I27" s="8" t="s">
        <v>44</v>
      </c>
      <c r="J27" s="8">
        <v>0</v>
      </c>
      <c r="K27" s="8">
        <v>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>
        <v>0</v>
      </c>
    </row>
    <row r="30" spans="4:28" x14ac:dyDescent="0.4">
      <c r="D30" s="9" t="s">
        <v>45</v>
      </c>
    </row>
  </sheetData>
  <mergeCells count="4">
    <mergeCell ref="D5:W5"/>
    <mergeCell ref="F8:G8"/>
    <mergeCell ref="H8:I8"/>
    <mergeCell ref="J8:Z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ClearForYear">
                <anchor moveWithCells="1" sizeWithCells="1">
                  <from>
                    <xdr:col>29</xdr:col>
                    <xdr:colOff>76200</xdr:colOff>
                    <xdr:row>3</xdr:row>
                    <xdr:rowOff>76200</xdr:rowOff>
                  </from>
                  <to>
                    <xdr:col>31</xdr:col>
                    <xdr:colOff>517071</xdr:colOff>
                    <xdr:row>5</xdr:row>
                    <xdr:rowOff>146957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Week2</vt:lpstr>
      <vt:lpstr>Week3</vt:lpstr>
      <vt:lpstr>POY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 Results</dc:title>
  <dc:subject>Scored</dc:subject>
  <dc:creator>Brian Charles</dc:creator>
  <cp:lastModifiedBy>Brian Charles</cp:lastModifiedBy>
  <dcterms:created xsi:type="dcterms:W3CDTF">2025-04-24T02:52:49Z</dcterms:created>
  <dcterms:modified xsi:type="dcterms:W3CDTF">2025-04-24T02:59:03Z</dcterms:modified>
</cp:coreProperties>
</file>